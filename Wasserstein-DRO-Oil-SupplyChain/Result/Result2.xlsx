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ihassanzadeh/Desktop/IP/Oil Supply Chain/result/"/>
    </mc:Choice>
  </mc:AlternateContent>
  <xr:revisionPtr revIDLastSave="0" documentId="13_ncr:1_{9D6E0A8B-4EE6-2843-B52F-4282DFA69000}" xr6:coauthVersionLast="47" xr6:coauthVersionMax="47" xr10:uidLastSave="{00000000-0000-0000-0000-000000000000}"/>
  <bookViews>
    <workbookView xWindow="0" yWindow="0" windowWidth="28800" windowHeight="18000" activeTab="4" xr2:uid="{C21F83DF-EEF6-4E49-A3C2-0D9EEDC0FB92}"/>
  </bookViews>
  <sheets>
    <sheet name="cros validation" sheetId="5" r:id="rId1"/>
    <sheet name="out sampel" sheetId="4" r:id="rId2"/>
    <sheet name="impact radius" sheetId="3" r:id="rId3"/>
    <sheet name="impact testing sample" sheetId="6" r:id="rId4"/>
    <sheet name="Impact of Uncertinaty" sheetId="7" r:id="rId5"/>
    <sheet name="algorithms run tim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" i="7"/>
  <c r="H30" i="7"/>
  <c r="A3" i="8" a="1"/>
  <c r="A3" i="8" s="1"/>
  <c r="M31" i="7"/>
  <c r="M30" i="7"/>
  <c r="L31" i="7"/>
  <c r="L30" i="7"/>
  <c r="K31" i="7"/>
  <c r="K30" i="7"/>
  <c r="J31" i="7"/>
  <c r="J30" i="7"/>
  <c r="H31" i="7"/>
  <c r="I31" i="7"/>
  <c r="I30" i="7"/>
  <c r="G51" i="3"/>
  <c r="H51" i="3"/>
  <c r="I51" i="3"/>
  <c r="G50" i="3"/>
  <c r="H50" i="3"/>
  <c r="I50" i="3"/>
  <c r="G49" i="3"/>
  <c r="H49" i="3"/>
  <c r="I49" i="3"/>
  <c r="G48" i="3"/>
  <c r="H48" i="3"/>
  <c r="I48" i="3"/>
  <c r="F51" i="3"/>
  <c r="F50" i="3"/>
  <c r="F49" i="3"/>
  <c r="F48" i="3"/>
  <c r="E51" i="3"/>
  <c r="E50" i="3"/>
  <c r="E49" i="3"/>
  <c r="E48" i="3"/>
  <c r="E23" i="7"/>
  <c r="C23" i="7"/>
  <c r="F26" i="7"/>
  <c r="E26" i="7"/>
  <c r="C26" i="7"/>
  <c r="B26" i="7"/>
  <c r="F25" i="7"/>
  <c r="E25" i="7"/>
  <c r="C25" i="7"/>
  <c r="B25" i="7"/>
  <c r="F24" i="7"/>
  <c r="E24" i="7"/>
  <c r="C24" i="7"/>
  <c r="B24" i="7"/>
  <c r="F23" i="7"/>
  <c r="B23" i="7"/>
  <c r="I8" i="5"/>
  <c r="H8" i="5"/>
  <c r="G8" i="5"/>
  <c r="E8" i="5"/>
  <c r="F8" i="5"/>
  <c r="D8" i="5"/>
  <c r="C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<sst xmlns="http://schemas.openxmlformats.org/spreadsheetml/2006/main" count="104" uniqueCount="85">
  <si>
    <t>rad</t>
  </si>
  <si>
    <t>obj in sample</t>
  </si>
  <si>
    <t>time</t>
  </si>
  <si>
    <t>obj out sample</t>
  </si>
  <si>
    <t>xk1</t>
  </si>
  <si>
    <t>xk2</t>
  </si>
  <si>
    <t>xk3</t>
  </si>
  <si>
    <t>xk4</t>
  </si>
  <si>
    <t>xk5</t>
  </si>
  <si>
    <t>buy</t>
  </si>
  <si>
    <t>sell</t>
  </si>
  <si>
    <t>FS</t>
  </si>
  <si>
    <t>SS-R</t>
  </si>
  <si>
    <t>SS-C</t>
  </si>
  <si>
    <t>std</t>
  </si>
  <si>
    <t>min</t>
  </si>
  <si>
    <t>max</t>
  </si>
  <si>
    <t>demand responsivenes</t>
  </si>
  <si>
    <t>total demand</t>
  </si>
  <si>
    <t>total response</t>
  </si>
  <si>
    <t>Model</t>
  </si>
  <si>
    <t>FS Cost</t>
  </si>
  <si>
    <t>SS Cost (Avg)</t>
  </si>
  <si>
    <t>SS Revenu (Avg)</t>
  </si>
  <si>
    <t>Total Profit (Avg)</t>
  </si>
  <si>
    <t>Total Profit (Std)</t>
  </si>
  <si>
    <t>Best Case</t>
  </si>
  <si>
    <t>Worst Case</t>
  </si>
  <si>
    <t>Stochastic</t>
  </si>
  <si>
    <t>DRO (theta = 300)</t>
  </si>
  <si>
    <t>DRO (theta = 700)</t>
  </si>
  <si>
    <t>DRO (theta = 800)</t>
  </si>
  <si>
    <t>DRO (theta = 900)</t>
  </si>
  <si>
    <t>DRO (theta = 2000)</t>
  </si>
  <si>
    <t>DRO (theta = 2400)</t>
  </si>
  <si>
    <t>DRO (theta = 2800)</t>
  </si>
  <si>
    <t>Sampel Number</t>
  </si>
  <si>
    <t>Tses-Sample</t>
  </si>
  <si>
    <t>0-20</t>
  </si>
  <si>
    <t>K1</t>
  </si>
  <si>
    <t>20-40</t>
  </si>
  <si>
    <t>K2</t>
  </si>
  <si>
    <t>40-60</t>
  </si>
  <si>
    <t>K3</t>
  </si>
  <si>
    <t>60-80</t>
  </si>
  <si>
    <t>K4</t>
  </si>
  <si>
    <t>80-100</t>
  </si>
  <si>
    <t>K5</t>
  </si>
  <si>
    <t>AVG</t>
  </si>
  <si>
    <t>Number of Testing Samples</t>
  </si>
  <si>
    <t>Obj-Outsample (Std)</t>
  </si>
  <si>
    <t>Obj-Outsample (Avg)</t>
  </si>
  <si>
    <t>Run Time</t>
  </si>
  <si>
    <t>ca4</t>
  </si>
  <si>
    <t>dro</t>
  </si>
  <si>
    <t>sto</t>
  </si>
  <si>
    <t>dem</t>
  </si>
  <si>
    <t>STD</t>
  </si>
  <si>
    <t>Range</t>
  </si>
  <si>
    <t>Min</t>
  </si>
  <si>
    <t>Max</t>
  </si>
  <si>
    <t>BD</t>
  </si>
  <si>
    <t>L-Shape</t>
  </si>
  <si>
    <t>NO.</t>
  </si>
  <si>
    <t>I</t>
  </si>
  <si>
    <t>J</t>
  </si>
  <si>
    <t>K</t>
  </si>
  <si>
    <t>M</t>
  </si>
  <si>
    <t>Sampel</t>
  </si>
  <si>
    <t>Iteration</t>
  </si>
  <si>
    <t>Obj</t>
  </si>
  <si>
    <t>Gap</t>
  </si>
  <si>
    <t xml:space="preserve">        </t>
  </si>
  <si>
    <t>theta</t>
  </si>
  <si>
    <t>Production Capacity</t>
  </si>
  <si>
    <t>Demand</t>
  </si>
  <si>
    <t>Std</t>
  </si>
  <si>
    <t>Objective Function Value (DRO)</t>
  </si>
  <si>
    <t>Objective Function Value (Stochastic)</t>
  </si>
  <si>
    <t>Binary Variables</t>
  </si>
  <si>
    <t>Continous Variables</t>
  </si>
  <si>
    <t>Master Problem</t>
  </si>
  <si>
    <t>Sub Problem</t>
  </si>
  <si>
    <t>Constraint</t>
  </si>
  <si>
    <t>percentage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</si>
</sst>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4"/>
      <color rgb="FF1F1F1F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2" fontId="0" fillId="0" borderId="0" xfId="0" applyNumberForma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9" fontId="6" fillId="0" borderId="7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'impact radius'!$E$48:$I$48</c:f>
              <c:numCache>
                <c:formatCode>0.00</c:formatCode>
                <c:ptCount val="5"/>
                <c:pt idx="0">
                  <c:v>416</c:v>
                </c:pt>
                <c:pt idx="1">
                  <c:v>375</c:v>
                </c:pt>
                <c:pt idx="2">
                  <c:v>415</c:v>
                </c:pt>
                <c:pt idx="3">
                  <c:v>414</c:v>
                </c:pt>
                <c:pt idx="4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9-084F-945C-88FC31EC4F5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'impact radius'!$E$49:$I$49</c:f>
              <c:numCache>
                <c:formatCode>0.00</c:formatCode>
                <c:ptCount val="5"/>
                <c:pt idx="0">
                  <c:v>381</c:v>
                </c:pt>
                <c:pt idx="1">
                  <c:v>372</c:v>
                </c:pt>
                <c:pt idx="2">
                  <c:v>415</c:v>
                </c:pt>
                <c:pt idx="3">
                  <c:v>417</c:v>
                </c:pt>
                <c:pt idx="4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9-084F-945C-88FC31EC4F5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'impact radius'!$E$50:$I$50</c:f>
              <c:numCache>
                <c:formatCode>0.00</c:formatCode>
                <c:ptCount val="5"/>
                <c:pt idx="0">
                  <c:v>373</c:v>
                </c:pt>
                <c:pt idx="1">
                  <c:v>372</c:v>
                </c:pt>
                <c:pt idx="2">
                  <c:v>415</c:v>
                </c:pt>
                <c:pt idx="3">
                  <c:v>417</c:v>
                </c:pt>
                <c:pt idx="4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09-084F-945C-88FC31EC4F5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'impact radius'!$E$51:$I$51</c:f>
              <c:numCache>
                <c:formatCode>0.00</c:formatCode>
                <c:ptCount val="5"/>
                <c:pt idx="0">
                  <c:v>307</c:v>
                </c:pt>
                <c:pt idx="1">
                  <c:v>399</c:v>
                </c:pt>
                <c:pt idx="2">
                  <c:v>415</c:v>
                </c:pt>
                <c:pt idx="3">
                  <c:v>399</c:v>
                </c:pt>
                <c:pt idx="4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9-084F-945C-88FC31EC4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354192"/>
        <c:axId val="679355904"/>
      </c:barChart>
      <c:catAx>
        <c:axId val="67935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679355904"/>
        <c:crosses val="autoZero"/>
        <c:auto val="1"/>
        <c:lblAlgn val="ctr"/>
        <c:lblOffset val="100"/>
        <c:noMultiLvlLbl val="0"/>
      </c:catAx>
      <c:valAx>
        <c:axId val="6793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67935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87-8146-BF87-26CD7C1D4B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87-8146-BF87-26CD7C1D4B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87-8146-BF87-26CD7C1D4B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87-8146-BF87-26CD7C1D4B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787-8146-BF87-26CD7C1D4B1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I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'impact radius'!$E$48:$I$48</c:f>
              <c:numCache>
                <c:formatCode>0.00</c:formatCode>
                <c:ptCount val="5"/>
                <c:pt idx="0">
                  <c:v>416</c:v>
                </c:pt>
                <c:pt idx="1">
                  <c:v>375</c:v>
                </c:pt>
                <c:pt idx="2">
                  <c:v>415</c:v>
                </c:pt>
                <c:pt idx="3">
                  <c:v>414</c:v>
                </c:pt>
                <c:pt idx="4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2-EA42-AD27-D78E5416653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7F-6749-8483-4220B15ACB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7F-6749-8483-4220B15ACB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7F-6749-8483-4220B15ACB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7F-6749-8483-4220B15ACB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27F-6749-8483-4220B15ACBF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I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'impact radius'!$E$51:$I$51</c:f>
              <c:numCache>
                <c:formatCode>0.00</c:formatCode>
                <c:ptCount val="5"/>
                <c:pt idx="0">
                  <c:v>307</c:v>
                </c:pt>
                <c:pt idx="1">
                  <c:v>399</c:v>
                </c:pt>
                <c:pt idx="2">
                  <c:v>415</c:v>
                </c:pt>
                <c:pt idx="3">
                  <c:v>399</c:v>
                </c:pt>
                <c:pt idx="4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F-2346-A7D1-0DAC6E5961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114491</xdr:colOff>
      <xdr:row>57</xdr:row>
      <xdr:rowOff>90824</xdr:rowOff>
    </xdr:from>
    <xdr:to>
      <xdr:col>13</xdr:col>
      <xdr:colOff>318461</xdr:colOff>
      <xdr:row>71</xdr:row>
      <xdr:rowOff>5388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067829-B4BD-1526-361A-111F04911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191462</xdr:colOff>
      <xdr:row>74</xdr:row>
      <xdr:rowOff>4234</xdr:rowOff>
    </xdr:from>
    <xdr:to>
      <xdr:col>17</xdr:col>
      <xdr:colOff>231871</xdr:colOff>
      <xdr:row>87</xdr:row>
      <xdr:rowOff>120843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1C9A5C-BCAB-6FDA-7094-68C2877EC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557069</xdr:colOff>
      <xdr:row>74</xdr:row>
      <xdr:rowOff>100445</xdr:rowOff>
    </xdr:from>
    <xdr:to>
      <xdr:col>9</xdr:col>
      <xdr:colOff>87553</xdr:colOff>
      <xdr:row>88</xdr:row>
      <xdr:rowOff>15008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93EC63-41E1-36E2-2EBC-20F7FD994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39CB-0D16-524E-8B20-8898ECB8AC05}">
  <dimension ref="A1:I9"/>
  <sheetViews>
    <sheetView zoomScale="164" workbookViewId="0">
      <selection sqref="A1:I8"/>
    </sheetView>
  </sheetViews>
  <sheetFormatPr baseColWidth="10" defaultRowHeight="16" x14ac:dyDescent="0.2"/>
  <cols>
    <col min="1" max="1" width="16.6640625" style="1" bestFit="1" customWidth="1"/>
    <col min="2" max="2" width="13.1640625" style="1" bestFit="1" customWidth="1"/>
    <col min="3" max="16384" width="10.83203125" style="1"/>
  </cols>
  <sheetData>
    <row r="1" spans="1:9" ht="18" x14ac:dyDescent="0.2">
      <c r="A1" s="11"/>
      <c r="B1" s="11"/>
      <c r="C1" s="46" t="s">
        <v>73</v>
      </c>
      <c r="D1" s="46"/>
      <c r="E1" s="46"/>
      <c r="F1" s="46"/>
      <c r="G1" s="46"/>
      <c r="H1" s="46"/>
      <c r="I1" s="46"/>
    </row>
    <row r="2" spans="1:9" ht="18" x14ac:dyDescent="0.2">
      <c r="A2" s="13" t="s">
        <v>36</v>
      </c>
      <c r="B2" s="13" t="s">
        <v>37</v>
      </c>
      <c r="C2" s="13">
        <v>300</v>
      </c>
      <c r="D2" s="13">
        <v>700</v>
      </c>
      <c r="E2" s="13">
        <v>800</v>
      </c>
      <c r="F2" s="13">
        <v>900</v>
      </c>
      <c r="G2" s="13">
        <v>2000</v>
      </c>
      <c r="H2" s="13">
        <v>2400</v>
      </c>
      <c r="I2" s="13">
        <v>2800</v>
      </c>
    </row>
    <row r="3" spans="1:9" ht="18" x14ac:dyDescent="0.2">
      <c r="A3" s="13" t="s">
        <v>38</v>
      </c>
      <c r="B3" s="13" t="s">
        <v>39</v>
      </c>
      <c r="C3" s="7">
        <v>-11161.776551348299</v>
      </c>
      <c r="D3" s="11">
        <v>-11163.075159133799</v>
      </c>
      <c r="E3" s="7">
        <v>-11162.3346814296</v>
      </c>
      <c r="F3" s="11">
        <v>-11164.8096814296</v>
      </c>
      <c r="G3" s="11">
        <v>-11164.534681429601</v>
      </c>
      <c r="H3" s="11">
        <v>-11161.6096814296</v>
      </c>
      <c r="I3" s="11">
        <v>-10961.607776667701</v>
      </c>
    </row>
    <row r="4" spans="1:9" ht="18" x14ac:dyDescent="0.2">
      <c r="A4" s="13" t="s">
        <v>40</v>
      </c>
      <c r="B4" s="13" t="s">
        <v>41</v>
      </c>
      <c r="C4" s="7">
        <v>-11100.262360001099</v>
      </c>
      <c r="D4" s="7">
        <v>-11100.2811096885</v>
      </c>
      <c r="E4" s="7">
        <v>-11101.3142660294</v>
      </c>
      <c r="F4" s="11">
        <v>-11100.159681429601</v>
      </c>
      <c r="G4" s="11">
        <v>-11099.134681429599</v>
      </c>
      <c r="H4" s="11">
        <v>-11102.7346814296</v>
      </c>
      <c r="I4" s="11">
        <v>-10917.582776667699</v>
      </c>
    </row>
    <row r="5" spans="1:9" ht="18" x14ac:dyDescent="0.2">
      <c r="A5" s="13" t="s">
        <v>42</v>
      </c>
      <c r="B5" s="13" t="s">
        <v>43</v>
      </c>
      <c r="C5" s="7">
        <v>-11135.4877516051</v>
      </c>
      <c r="D5" s="7">
        <v>-11136.996678596701</v>
      </c>
      <c r="E5" s="7">
        <v>-11137.0989645593</v>
      </c>
      <c r="F5" s="11">
        <v>-11134.0153542025</v>
      </c>
      <c r="G5" s="11">
        <v>-11131.4346814296</v>
      </c>
      <c r="H5" s="11">
        <v>-11133.765883088399</v>
      </c>
      <c r="I5" s="11">
        <v>-10939.2577766677</v>
      </c>
    </row>
    <row r="6" spans="1:9" ht="18" x14ac:dyDescent="0.2">
      <c r="A6" s="13" t="s">
        <v>44</v>
      </c>
      <c r="B6" s="13" t="s">
        <v>45</v>
      </c>
      <c r="C6" s="7">
        <v>-11091.347551442501</v>
      </c>
      <c r="D6" s="7">
        <v>-11091.860999254301</v>
      </c>
      <c r="E6" s="7">
        <v>-11093.4201727945</v>
      </c>
      <c r="F6" s="11">
        <v>-11094.6038941387</v>
      </c>
      <c r="G6" s="11">
        <v>-11088.534681429601</v>
      </c>
      <c r="H6" s="11">
        <v>-11095.034681429601</v>
      </c>
      <c r="I6" s="11">
        <v>-10896.0327766677</v>
      </c>
    </row>
    <row r="7" spans="1:9" ht="18" x14ac:dyDescent="0.2">
      <c r="A7" s="13" t="s">
        <v>46</v>
      </c>
      <c r="B7" s="13" t="s">
        <v>47</v>
      </c>
      <c r="C7" s="7">
        <v>-11072.8608476104</v>
      </c>
      <c r="D7" s="7">
        <v>-11073.722084392601</v>
      </c>
      <c r="E7" s="7">
        <v>-11074.2326259981</v>
      </c>
      <c r="F7" s="11">
        <v>-11073.910440358201</v>
      </c>
      <c r="G7" s="11">
        <v>-11073.4346814296</v>
      </c>
      <c r="H7" s="11">
        <v>-11052.596627242399</v>
      </c>
      <c r="I7" s="11">
        <v>-10903.9702766677</v>
      </c>
    </row>
    <row r="8" spans="1:9" ht="18" x14ac:dyDescent="0.2">
      <c r="A8" s="45" t="s">
        <v>48</v>
      </c>
      <c r="B8" s="45"/>
      <c r="C8" s="13">
        <f>AVERAGE(C3:C7)</f>
        <v>-11112.34701240148</v>
      </c>
      <c r="D8" s="13">
        <f t="shared" ref="D8" si="0">AVERAGE(D3:D7)</f>
        <v>-11113.187206213179</v>
      </c>
      <c r="E8" s="13">
        <f>AVERAGE(E3:E7)</f>
        <v>-11113.68014216218</v>
      </c>
      <c r="F8" s="13">
        <f>AVERAGE(F3:F7)</f>
        <v>-11113.499810311721</v>
      </c>
      <c r="G8" s="13">
        <f>AVERAGE(G3:G7)</f>
        <v>-11111.4146814296</v>
      </c>
      <c r="H8" s="13">
        <f>AVERAGE(H3:H7)</f>
        <v>-11109.148310923918</v>
      </c>
      <c r="I8" s="13">
        <f>AVERAGE(I3:I7)</f>
        <v>-10923.690276667699</v>
      </c>
    </row>
    <row r="9" spans="1:9" x14ac:dyDescent="0.2">
      <c r="A9" s="2"/>
      <c r="B9" s="2"/>
      <c r="C9" s="2"/>
      <c r="D9" s="2"/>
      <c r="E9" s="2"/>
    </row>
  </sheetData>
  <mergeCells count="2">
    <mergeCell ref="A8:B8"/>
    <mergeCell ref="C1:I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21DE-7052-7A43-8B80-3AD6FE093A51}">
  <dimension ref="A1:I18"/>
  <sheetViews>
    <sheetView zoomScale="162" workbookViewId="0">
      <selection activeCell="A11" sqref="A11:D18"/>
    </sheetView>
  </sheetViews>
  <sheetFormatPr baseColWidth="10" defaultRowHeight="16" x14ac:dyDescent="0.2"/>
  <cols>
    <col min="1" max="1" width="17.1640625" bestFit="1" customWidth="1"/>
    <col min="2" max="2" width="9.1640625" bestFit="1" customWidth="1"/>
    <col min="3" max="3" width="15.33203125" bestFit="1" customWidth="1"/>
    <col min="4" max="4" width="18.5" bestFit="1" customWidth="1"/>
    <col min="5" max="5" width="19.6640625" bestFit="1" customWidth="1"/>
    <col min="6" max="6" width="19.1640625" bestFit="1" customWidth="1"/>
    <col min="7" max="7" width="10.6640625" bestFit="1" customWidth="1"/>
    <col min="8" max="8" width="12.6640625" bestFit="1" customWidth="1"/>
  </cols>
  <sheetData>
    <row r="1" spans="1:9" ht="18" x14ac:dyDescent="0.2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</row>
    <row r="2" spans="1:9" x14ac:dyDescent="0.2">
      <c r="A2" s="2" t="s">
        <v>28</v>
      </c>
      <c r="B2" s="3">
        <v>3120.5069852369802</v>
      </c>
      <c r="C2" s="3">
        <v>13110.341</v>
      </c>
      <c r="D2" s="3">
        <v>27545.983</v>
      </c>
      <c r="E2" s="3">
        <v>-11315.135014763</v>
      </c>
      <c r="F2" s="3">
        <v>163.79284580225101</v>
      </c>
      <c r="G2" s="3">
        <v>-11808.743014763</v>
      </c>
      <c r="H2" s="3">
        <v>-10776.493014763</v>
      </c>
    </row>
    <row r="3" spans="1:9" x14ac:dyDescent="0.2">
      <c r="A3" s="5" t="s">
        <v>29</v>
      </c>
      <c r="B3" s="3">
        <v>2925.0751910417298</v>
      </c>
      <c r="C3" s="3">
        <v>12878.8955158311</v>
      </c>
      <c r="D3" s="3">
        <v>27127.4935065963</v>
      </c>
      <c r="E3" s="3">
        <v>-11323.5227997234</v>
      </c>
      <c r="F3" s="3">
        <v>161.29741373522199</v>
      </c>
      <c r="G3" s="3">
        <v>-11793.4248089582</v>
      </c>
      <c r="H3" s="3">
        <v>-10790.8021176653</v>
      </c>
    </row>
    <row r="4" spans="1:9" x14ac:dyDescent="0.2">
      <c r="A4" s="5" t="s">
        <v>30</v>
      </c>
      <c r="B4" s="3">
        <v>2917.1569852369798</v>
      </c>
      <c r="C4" s="3">
        <v>12871.8505</v>
      </c>
      <c r="D4" s="3">
        <v>27119.25</v>
      </c>
      <c r="E4" s="3">
        <v>-11330.242514763</v>
      </c>
      <c r="F4" s="3">
        <v>161.45761680623801</v>
      </c>
      <c r="G4" s="3">
        <v>-11801.343014763001</v>
      </c>
      <c r="H4" s="3">
        <v>-10786.843014763001</v>
      </c>
    </row>
    <row r="5" spans="1:9" x14ac:dyDescent="0.2">
      <c r="A5" s="6" t="s">
        <v>31</v>
      </c>
      <c r="B5" s="3">
        <v>2899.0153316936699</v>
      </c>
      <c r="C5" s="3">
        <v>12861.2849677165</v>
      </c>
      <c r="D5" s="3">
        <v>27086.376897637601</v>
      </c>
      <c r="E5" s="3">
        <v>-11326.076598227501</v>
      </c>
      <c r="F5" s="3">
        <v>161.42850154309701</v>
      </c>
      <c r="G5" s="3">
        <v>-11794.5917549204</v>
      </c>
      <c r="H5" s="3">
        <v>-10782.3547470464</v>
      </c>
    </row>
    <row r="6" spans="1:9" x14ac:dyDescent="0.2">
      <c r="A6" s="6" t="s">
        <v>32</v>
      </c>
      <c r="B6" s="3">
        <v>2897.8564344895399</v>
      </c>
      <c r="C6" s="3">
        <v>12865.8164323367</v>
      </c>
      <c r="D6" s="3">
        <v>27089.477786781899</v>
      </c>
      <c r="E6" s="3">
        <v>-11325.804919955701</v>
      </c>
      <c r="F6" s="3">
        <v>161.428389707279</v>
      </c>
      <c r="G6" s="3">
        <v>-11794.1604813247</v>
      </c>
      <c r="H6" s="3">
        <v>-10782.068034432499</v>
      </c>
    </row>
    <row r="7" spans="1:9" x14ac:dyDescent="0.2">
      <c r="A7" s="6" t="s">
        <v>33</v>
      </c>
      <c r="B7" s="3">
        <v>2885.09031857031</v>
      </c>
      <c r="C7" s="3">
        <v>12844.259</v>
      </c>
      <c r="D7" s="3">
        <v>27052.829000000002</v>
      </c>
      <c r="E7" s="3">
        <v>-11323.479681429601</v>
      </c>
      <c r="F7" s="3">
        <v>161.28562273184701</v>
      </c>
      <c r="G7" s="3">
        <v>-11789.409681429601</v>
      </c>
      <c r="H7" s="3">
        <v>-10778.909681429601</v>
      </c>
      <c r="I7" s="3"/>
    </row>
    <row r="8" spans="1:9" x14ac:dyDescent="0.2">
      <c r="A8" s="6" t="s">
        <v>34</v>
      </c>
      <c r="B8" s="3">
        <v>2848.94746142745</v>
      </c>
      <c r="C8" s="3">
        <v>12765.7655</v>
      </c>
      <c r="D8" s="3">
        <v>26916.73</v>
      </c>
      <c r="E8" s="3">
        <v>-11302.0170385725</v>
      </c>
      <c r="F8" s="3">
        <v>160.833935675124</v>
      </c>
      <c r="G8" s="3">
        <v>-11765.5525385725</v>
      </c>
      <c r="H8" s="3">
        <v>-10773.0525385725</v>
      </c>
      <c r="I8" s="3"/>
    </row>
    <row r="9" spans="1:9" x14ac:dyDescent="0.2">
      <c r="A9" s="6" t="s">
        <v>35</v>
      </c>
      <c r="B9" s="3">
        <v>2590.0422233322201</v>
      </c>
      <c r="C9" s="3">
        <v>12330.636</v>
      </c>
      <c r="D9" s="3">
        <v>26046.573</v>
      </c>
      <c r="E9" s="3">
        <v>-11125.894776667699</v>
      </c>
      <c r="F9" s="3">
        <v>151.26822710338001</v>
      </c>
      <c r="G9" s="3">
        <v>-11523.457776667699</v>
      </c>
      <c r="H9" s="3">
        <v>-10601.957776667699</v>
      </c>
      <c r="I9" s="3"/>
    </row>
    <row r="12" spans="1:9" x14ac:dyDescent="0.2">
      <c r="A12" s="5"/>
      <c r="B12" s="14"/>
      <c r="C12" s="14"/>
      <c r="D12" s="14"/>
    </row>
    <row r="13" spans="1:9" x14ac:dyDescent="0.2">
      <c r="A13" s="5"/>
      <c r="B13" s="14"/>
      <c r="C13" s="14"/>
      <c r="D13" s="14"/>
    </row>
    <row r="14" spans="1:9" x14ac:dyDescent="0.2">
      <c r="A14" s="6"/>
      <c r="B14" s="14"/>
      <c r="C14" s="14"/>
      <c r="D14" s="14"/>
    </row>
    <row r="15" spans="1:9" x14ac:dyDescent="0.2">
      <c r="A15" s="6"/>
      <c r="B15" s="14"/>
      <c r="C15" s="14"/>
      <c r="D15" s="14"/>
    </row>
    <row r="16" spans="1:9" x14ac:dyDescent="0.2">
      <c r="A16" s="6"/>
      <c r="B16" s="14"/>
      <c r="C16" s="14"/>
      <c r="D16" s="14"/>
    </row>
    <row r="17" spans="1:4" x14ac:dyDescent="0.2">
      <c r="A17" s="6"/>
      <c r="B17" s="14"/>
      <c r="C17" s="14"/>
      <c r="D17" s="14"/>
    </row>
    <row r="18" spans="1:4" x14ac:dyDescent="0.2">
      <c r="A18" s="6"/>
      <c r="B18" s="14"/>
      <c r="C18" s="14"/>
      <c r="D18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BCEF-BA93-ED42-A67A-496151BE8599}">
  <dimension ref="A1:T51"/>
  <sheetViews>
    <sheetView zoomScale="75" workbookViewId="0">
      <selection activeCell="F18" sqref="F18"/>
    </sheetView>
  </sheetViews>
  <sheetFormatPr baseColWidth="10" defaultRowHeight="16" x14ac:dyDescent="0.2"/>
  <cols>
    <col min="1" max="1" width="7.6640625" bestFit="1" customWidth="1"/>
    <col min="2" max="2" width="5.6640625" bestFit="1" customWidth="1"/>
    <col min="3" max="3" width="14.83203125" bestFit="1" customWidth="1"/>
    <col min="4" max="4" width="16.33203125" bestFit="1" customWidth="1"/>
    <col min="5" max="5" width="8.33203125" bestFit="1" customWidth="1"/>
    <col min="6" max="11" width="6.6640625" bestFit="1" customWidth="1"/>
    <col min="12" max="12" width="8" bestFit="1" customWidth="1"/>
    <col min="13" max="14" width="9.1640625" bestFit="1" customWidth="1"/>
    <col min="15" max="15" width="6.6640625" bestFit="1" customWidth="1"/>
    <col min="16" max="17" width="9.83203125" bestFit="1" customWidth="1"/>
    <col min="18" max="18" width="23.83203125" bestFit="1" customWidth="1"/>
    <col min="19" max="19" width="14.6640625" bestFit="1" customWidth="1"/>
    <col min="20" max="20" width="15" bestFit="1" customWidth="1"/>
  </cols>
  <sheetData>
    <row r="1" spans="1:20" s="8" customFormat="1" ht="19" x14ac:dyDescent="0.25">
      <c r="A1" s="27" t="s">
        <v>0</v>
      </c>
      <c r="B1" s="27" t="s">
        <v>2</v>
      </c>
      <c r="C1" s="27" t="s">
        <v>1</v>
      </c>
      <c r="D1" s="27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9" t="s">
        <v>19</v>
      </c>
    </row>
    <row r="2" spans="1:20" x14ac:dyDescent="0.2">
      <c r="A2" s="31">
        <v>0</v>
      </c>
      <c r="B2" s="31">
        <v>11.582958936691201</v>
      </c>
      <c r="C2" s="31">
        <v>-11912.743014763</v>
      </c>
      <c r="D2" s="31">
        <v>-11315.135014763</v>
      </c>
      <c r="E2" s="3">
        <v>416</v>
      </c>
      <c r="F2" s="3">
        <v>375</v>
      </c>
      <c r="G2" s="3">
        <v>415</v>
      </c>
      <c r="H2" s="3">
        <v>415</v>
      </c>
      <c r="I2" s="3">
        <v>415</v>
      </c>
      <c r="J2" s="3">
        <v>204.22800000000001</v>
      </c>
      <c r="K2" s="3">
        <v>332.274</v>
      </c>
      <c r="L2" s="3">
        <v>3120.5069852369802</v>
      </c>
      <c r="M2" s="3">
        <v>27545.983</v>
      </c>
      <c r="N2" s="3">
        <v>13110.341</v>
      </c>
      <c r="O2" s="3">
        <v>163.79284580225101</v>
      </c>
      <c r="P2" s="3">
        <v>-11808.743014763</v>
      </c>
      <c r="Q2" s="3">
        <v>-10776.493014763</v>
      </c>
      <c r="R2" s="3">
        <v>12.564616279928325</v>
      </c>
      <c r="S2" s="3">
        <v>7557.3059999999996</v>
      </c>
      <c r="T2" s="3">
        <v>949.54650000000004</v>
      </c>
    </row>
    <row r="3" spans="1:20" x14ac:dyDescent="0.2">
      <c r="A3" s="3">
        <v>100</v>
      </c>
      <c r="B3" s="3">
        <v>19.146779060363698</v>
      </c>
      <c r="C3" s="3">
        <v>-10824.4143977816</v>
      </c>
      <c r="D3" s="3">
        <v>-11315.135014763</v>
      </c>
      <c r="E3" s="30">
        <v>416</v>
      </c>
      <c r="F3" s="30">
        <v>375</v>
      </c>
      <c r="G3" s="30">
        <v>415</v>
      </c>
      <c r="H3" s="30">
        <v>414</v>
      </c>
      <c r="I3" s="30">
        <v>415</v>
      </c>
      <c r="J3" s="3">
        <v>204.22800000000001</v>
      </c>
      <c r="K3" s="3">
        <v>332.274</v>
      </c>
      <c r="L3" s="3">
        <v>3120.5069852369802</v>
      </c>
      <c r="M3" s="3">
        <v>27545.983</v>
      </c>
      <c r="N3" s="3">
        <v>13110.341</v>
      </c>
      <c r="O3" s="3">
        <v>163.79284580225101</v>
      </c>
      <c r="P3" s="3">
        <v>-11808.743014763</v>
      </c>
      <c r="Q3" s="3">
        <v>-10776.493014763</v>
      </c>
      <c r="R3" s="3">
        <v>12.564616279928325</v>
      </c>
      <c r="S3" s="3">
        <v>7557.3059999999996</v>
      </c>
      <c r="T3" s="3">
        <v>949.54650000000004</v>
      </c>
    </row>
    <row r="4" spans="1:20" x14ac:dyDescent="0.2">
      <c r="A4" s="3">
        <v>200</v>
      </c>
      <c r="B4" s="3">
        <v>22.2441759109497</v>
      </c>
      <c r="C4" s="3">
        <v>-9909.1058479867097</v>
      </c>
      <c r="D4" s="3">
        <v>-11309.4284752773</v>
      </c>
      <c r="E4" s="3">
        <v>412.05018325345299</v>
      </c>
      <c r="F4" s="3">
        <v>373.05469410769598</v>
      </c>
      <c r="G4" s="3">
        <v>415</v>
      </c>
      <c r="H4" s="3">
        <v>415.945305892303</v>
      </c>
      <c r="I4" s="3">
        <v>398.94182877549099</v>
      </c>
      <c r="J4" s="3">
        <v>196.673361150267</v>
      </c>
      <c r="K4" s="3">
        <v>332.13400000000001</v>
      </c>
      <c r="L4" s="3">
        <v>3036.3584833731202</v>
      </c>
      <c r="M4" s="3">
        <v>27348.2340488677</v>
      </c>
      <c r="N4" s="3">
        <v>13002.4470902171</v>
      </c>
      <c r="O4" s="3">
        <v>162.366422955752</v>
      </c>
      <c r="P4" s="3">
        <v>-11792.365250298501</v>
      </c>
      <c r="Q4" s="3">
        <v>-10791.188833608299</v>
      </c>
      <c r="R4" s="3">
        <v>12.481297243215177</v>
      </c>
      <c r="S4" s="3">
        <v>7557.3059999999996</v>
      </c>
      <c r="T4" s="3">
        <v>943.24982543933504</v>
      </c>
    </row>
    <row r="5" spans="1:20" x14ac:dyDescent="0.2">
      <c r="A5" s="31">
        <v>300</v>
      </c>
      <c r="B5" s="31">
        <v>27.2240869998931</v>
      </c>
      <c r="C5" s="31">
        <v>-9288.9584501192094</v>
      </c>
      <c r="D5" s="31">
        <v>-11323.5227997234</v>
      </c>
      <c r="E5" s="3">
        <v>388.91820580474899</v>
      </c>
      <c r="F5" s="3">
        <v>372</v>
      </c>
      <c r="G5" s="3">
        <v>415</v>
      </c>
      <c r="H5" s="3">
        <v>417</v>
      </c>
      <c r="I5" s="3">
        <v>400.08179419524998</v>
      </c>
      <c r="J5" s="3">
        <v>191.45689182058001</v>
      </c>
      <c r="K5" s="3">
        <v>332.69</v>
      </c>
      <c r="L5" s="3">
        <v>2925.0751910417298</v>
      </c>
      <c r="M5" s="3">
        <v>27127.4935065963</v>
      </c>
      <c r="N5" s="3">
        <v>12878.8955158311</v>
      </c>
      <c r="O5" s="3">
        <v>161.29741373522199</v>
      </c>
      <c r="P5" s="3">
        <v>-11793.4248089582</v>
      </c>
      <c r="Q5" s="3">
        <v>-10790.8021176653</v>
      </c>
      <c r="R5" s="3">
        <v>12.373986895458634</v>
      </c>
      <c r="S5" s="3">
        <v>7557.3059999999996</v>
      </c>
      <c r="T5" s="3">
        <v>935.140054089709</v>
      </c>
    </row>
    <row r="6" spans="1:20" x14ac:dyDescent="0.2">
      <c r="A6" s="3">
        <v>400</v>
      </c>
      <c r="B6" s="3">
        <v>21.0224640369415</v>
      </c>
      <c r="C6" s="3">
        <v>-8883.0415810712602</v>
      </c>
      <c r="D6" s="3">
        <v>-11330.242514763</v>
      </c>
      <c r="E6" s="3">
        <v>381</v>
      </c>
      <c r="F6" s="3">
        <v>372</v>
      </c>
      <c r="G6" s="3">
        <v>415</v>
      </c>
      <c r="H6" s="3">
        <v>417</v>
      </c>
      <c r="I6" s="3">
        <v>408</v>
      </c>
      <c r="J6" s="3">
        <v>191.37200000000001</v>
      </c>
      <c r="K6" s="3">
        <v>332.214</v>
      </c>
      <c r="L6" s="3">
        <v>2917.1569852369798</v>
      </c>
      <c r="M6" s="3">
        <v>27119.25</v>
      </c>
      <c r="N6" s="3">
        <v>12871.8505</v>
      </c>
      <c r="O6" s="3">
        <v>161.45761680623801</v>
      </c>
      <c r="P6" s="3">
        <v>-11801.343014763001</v>
      </c>
      <c r="Q6" s="3">
        <v>-10786.843014763001</v>
      </c>
      <c r="R6" s="3">
        <v>12.371399279055261</v>
      </c>
      <c r="S6" s="3">
        <v>7557.3059999999996</v>
      </c>
      <c r="T6" s="3">
        <v>934.94449999999995</v>
      </c>
    </row>
    <row r="7" spans="1:20" x14ac:dyDescent="0.2">
      <c r="A7" s="3">
        <v>500</v>
      </c>
      <c r="B7" s="3">
        <v>27.304306983947701</v>
      </c>
      <c r="C7" s="3">
        <v>-8663.6180111518606</v>
      </c>
      <c r="D7" s="3">
        <v>-11330.242514763</v>
      </c>
      <c r="E7" s="30">
        <v>381</v>
      </c>
      <c r="F7" s="30">
        <v>372</v>
      </c>
      <c r="G7" s="30">
        <v>415</v>
      </c>
      <c r="H7" s="30">
        <v>417</v>
      </c>
      <c r="I7" s="30">
        <v>408</v>
      </c>
      <c r="J7" s="3">
        <v>191.37200000000001</v>
      </c>
      <c r="K7" s="3">
        <v>332.214</v>
      </c>
      <c r="L7" s="3">
        <v>2917.1569852369798</v>
      </c>
      <c r="M7" s="3">
        <v>27119.25</v>
      </c>
      <c r="N7" s="3">
        <v>12871.8505</v>
      </c>
      <c r="O7" s="3">
        <v>161.45761680623801</v>
      </c>
      <c r="P7" s="3">
        <v>-11801.343014763001</v>
      </c>
      <c r="Q7" s="3">
        <v>-10786.843014763001</v>
      </c>
      <c r="R7" s="3">
        <v>12.371399279055261</v>
      </c>
      <c r="S7" s="3">
        <v>7557.3059999999996</v>
      </c>
      <c r="T7" s="3">
        <v>934.94449999999995</v>
      </c>
    </row>
    <row r="8" spans="1:20" x14ac:dyDescent="0.2">
      <c r="A8" s="31">
        <v>600</v>
      </c>
      <c r="B8" s="31">
        <v>29.022173166275</v>
      </c>
      <c r="C8" s="31">
        <v>-8467.5400542367006</v>
      </c>
      <c r="D8" s="31">
        <v>-11330.3300016051</v>
      </c>
      <c r="E8" s="3">
        <v>379.91447368421001</v>
      </c>
      <c r="F8" s="3">
        <v>373.08552631578902</v>
      </c>
      <c r="G8" s="3">
        <v>415</v>
      </c>
      <c r="H8" s="3">
        <v>417</v>
      </c>
      <c r="I8" s="3">
        <v>408</v>
      </c>
      <c r="J8" s="3">
        <v>191.19165789473601</v>
      </c>
      <c r="K8" s="3">
        <v>332.22399999999999</v>
      </c>
      <c r="L8" s="3">
        <v>2917.1569852369798</v>
      </c>
      <c r="M8" s="3">
        <v>27122.180342105199</v>
      </c>
      <c r="N8" s="3">
        <v>12874.6933552631</v>
      </c>
      <c r="O8" s="3">
        <v>161.44980084647099</v>
      </c>
      <c r="P8" s="3">
        <v>-11801.343014763001</v>
      </c>
      <c r="Q8" s="3">
        <v>-10786.843014763001</v>
      </c>
      <c r="R8" s="3">
        <v>12.37263762412578</v>
      </c>
      <c r="S8" s="3">
        <v>7557.3059999999996</v>
      </c>
      <c r="T8" s="3">
        <v>935.03808552631494</v>
      </c>
    </row>
    <row r="9" spans="1:20" x14ac:dyDescent="0.2">
      <c r="A9" s="3">
        <v>700</v>
      </c>
      <c r="B9" s="3">
        <v>27.193795919418299</v>
      </c>
      <c r="C9" s="3">
        <v>-8278.7776764504397</v>
      </c>
      <c r="D9" s="3">
        <v>-11330.242514763</v>
      </c>
      <c r="E9" s="3">
        <v>381</v>
      </c>
      <c r="F9" s="3">
        <v>372</v>
      </c>
      <c r="G9" s="3">
        <v>415</v>
      </c>
      <c r="H9" s="3">
        <v>417</v>
      </c>
      <c r="I9" s="3">
        <v>408</v>
      </c>
      <c r="J9" s="3">
        <v>191.37200000000001</v>
      </c>
      <c r="K9" s="3">
        <v>332.214</v>
      </c>
      <c r="L9" s="3">
        <v>2917.1569852369798</v>
      </c>
      <c r="M9" s="3">
        <v>27119.25</v>
      </c>
      <c r="N9" s="3">
        <v>12871.8505</v>
      </c>
      <c r="O9" s="3">
        <v>161.45761680623801</v>
      </c>
      <c r="P9" s="3">
        <v>-11801.343014763001</v>
      </c>
      <c r="Q9" s="3">
        <v>-10786.843014763001</v>
      </c>
      <c r="R9" s="3">
        <v>12.371399279055261</v>
      </c>
      <c r="S9" s="3">
        <v>7557.3059999999996</v>
      </c>
      <c r="T9" s="3">
        <v>934.94449999999995</v>
      </c>
    </row>
    <row r="10" spans="1:20" x14ac:dyDescent="0.2">
      <c r="A10" s="3">
        <v>800</v>
      </c>
      <c r="B10" s="3">
        <v>24.239902973174999</v>
      </c>
      <c r="C10" s="3">
        <v>-8103.47368059984</v>
      </c>
      <c r="D10" s="3">
        <v>-11326.076598227501</v>
      </c>
      <c r="E10" s="3">
        <v>376.47401574803098</v>
      </c>
      <c r="F10" s="3">
        <v>372</v>
      </c>
      <c r="G10" s="3">
        <v>415</v>
      </c>
      <c r="H10" s="3">
        <v>417</v>
      </c>
      <c r="I10" s="3">
        <v>408</v>
      </c>
      <c r="J10" s="3">
        <v>189.58442519684999</v>
      </c>
      <c r="K10" s="3">
        <v>332.76400000000001</v>
      </c>
      <c r="L10" s="3">
        <v>2899.0153316936699</v>
      </c>
      <c r="M10" s="3">
        <v>27086.376897637601</v>
      </c>
      <c r="N10" s="3">
        <v>12861.2849677165</v>
      </c>
      <c r="O10" s="3">
        <v>161.42850154309701</v>
      </c>
      <c r="P10" s="3">
        <v>-11794.5917549204</v>
      </c>
      <c r="Q10" s="3">
        <v>-10782.3547470464</v>
      </c>
      <c r="R10" s="3">
        <v>12.356920512092351</v>
      </c>
      <c r="S10" s="3">
        <v>7557.3059999999996</v>
      </c>
      <c r="T10" s="3">
        <v>933.85029527558595</v>
      </c>
    </row>
    <row r="11" spans="1:20" x14ac:dyDescent="0.2">
      <c r="A11" s="31">
        <v>900</v>
      </c>
      <c r="B11" s="31">
        <v>28.714239120483398</v>
      </c>
      <c r="C11" s="31">
        <v>-7931.9931299911304</v>
      </c>
      <c r="D11" s="31">
        <v>-11325.804919955701</v>
      </c>
      <c r="E11" s="3">
        <v>376.184893784422</v>
      </c>
      <c r="F11" s="3">
        <v>372</v>
      </c>
      <c r="G11" s="3">
        <v>415</v>
      </c>
      <c r="H11" s="3">
        <v>417</v>
      </c>
      <c r="I11" s="3">
        <v>408</v>
      </c>
      <c r="J11" s="3">
        <v>189.52101494885801</v>
      </c>
      <c r="K11" s="3">
        <v>333.21199999999999</v>
      </c>
      <c r="L11" s="3">
        <v>2897.8564344895399</v>
      </c>
      <c r="M11" s="3">
        <v>27089.477786781899</v>
      </c>
      <c r="N11" s="3">
        <v>12865.8164323367</v>
      </c>
      <c r="O11" s="3">
        <v>161.428389707279</v>
      </c>
      <c r="P11" s="3">
        <v>-11794.1604813247</v>
      </c>
      <c r="Q11" s="3">
        <v>-10782.068034432499</v>
      </c>
      <c r="R11" s="3">
        <v>12.358391196780785</v>
      </c>
      <c r="S11" s="3">
        <v>7557.3059999999996</v>
      </c>
      <c r="T11" s="3">
        <v>933.96143941778598</v>
      </c>
    </row>
    <row r="12" spans="1:20" x14ac:dyDescent="0.2">
      <c r="A12" s="3">
        <v>1000</v>
      </c>
      <c r="B12" s="3">
        <v>24.578763008117601</v>
      </c>
      <c r="C12" s="3">
        <v>-7763.1053530217196</v>
      </c>
      <c r="D12" s="3">
        <v>-11324.407995728599</v>
      </c>
      <c r="E12" s="3">
        <v>374.743732590528</v>
      </c>
      <c r="F12" s="3">
        <v>372</v>
      </c>
      <c r="G12" s="3">
        <v>415</v>
      </c>
      <c r="H12" s="3">
        <v>417</v>
      </c>
      <c r="I12" s="3">
        <v>408</v>
      </c>
      <c r="J12" s="3">
        <v>188.71328133704699</v>
      </c>
      <c r="K12" s="3">
        <v>332.97399999999999</v>
      </c>
      <c r="L12" s="3">
        <v>2892.0797800373498</v>
      </c>
      <c r="M12" s="3">
        <v>27071.775214484798</v>
      </c>
      <c r="N12" s="3">
        <v>12855.2874387187</v>
      </c>
      <c r="O12" s="3">
        <v>161.42028951257601</v>
      </c>
      <c r="P12" s="3">
        <v>-11792.0107492105</v>
      </c>
      <c r="Q12" s="3">
        <v>-10780.6388829152</v>
      </c>
      <c r="R12" s="3">
        <v>12.352625732327709</v>
      </c>
      <c r="S12" s="3">
        <v>7557.3059999999996</v>
      </c>
      <c r="T12" s="3">
        <v>933.52572562674595</v>
      </c>
    </row>
    <row r="13" spans="1:20" x14ac:dyDescent="0.2">
      <c r="A13" s="3">
        <v>1100</v>
      </c>
      <c r="B13" s="3">
        <v>24.471159934997502</v>
      </c>
      <c r="C13" s="3">
        <v>-7598.22780848002</v>
      </c>
      <c r="D13" s="3">
        <v>-11323.2256814296</v>
      </c>
      <c r="E13" s="3">
        <v>364</v>
      </c>
      <c r="F13" s="3">
        <v>381</v>
      </c>
      <c r="G13" s="3">
        <v>415</v>
      </c>
      <c r="H13" s="3">
        <v>417</v>
      </c>
      <c r="I13" s="3">
        <v>408</v>
      </c>
      <c r="J13" s="3">
        <v>187.85599999999999</v>
      </c>
      <c r="K13" s="3">
        <v>333.34800000000001</v>
      </c>
      <c r="L13" s="3">
        <v>2885.09031857031</v>
      </c>
      <c r="M13" s="3">
        <v>27063.751</v>
      </c>
      <c r="N13" s="3">
        <v>12855.434999999999</v>
      </c>
      <c r="O13" s="3">
        <v>161.35830670901299</v>
      </c>
      <c r="P13" s="3">
        <v>-11789.409681429601</v>
      </c>
      <c r="Q13" s="3">
        <v>-10778.909681429601</v>
      </c>
      <c r="R13" s="3">
        <v>12.349136054567593</v>
      </c>
      <c r="S13" s="3">
        <v>7557.3059999999996</v>
      </c>
      <c r="T13" s="3">
        <v>933.26199999999994</v>
      </c>
    </row>
    <row r="14" spans="1:20" x14ac:dyDescent="0.2">
      <c r="A14" s="31">
        <v>1200</v>
      </c>
      <c r="B14" s="31">
        <v>20.5383410453796</v>
      </c>
      <c r="C14" s="31">
        <v>-7434.8728811023002</v>
      </c>
      <c r="D14" s="31">
        <v>-11322.704181429601</v>
      </c>
      <c r="E14" s="3">
        <v>373</v>
      </c>
      <c r="F14" s="3">
        <v>372</v>
      </c>
      <c r="G14" s="3">
        <v>415</v>
      </c>
      <c r="H14" s="3">
        <v>417</v>
      </c>
      <c r="I14" s="3">
        <v>408</v>
      </c>
      <c r="J14" s="3">
        <v>187.50800000000001</v>
      </c>
      <c r="K14" s="3">
        <v>331.416</v>
      </c>
      <c r="L14" s="3">
        <v>2885.09031857031</v>
      </c>
      <c r="M14" s="3">
        <v>27036.499</v>
      </c>
      <c r="N14" s="3">
        <v>12828.7045</v>
      </c>
      <c r="O14" s="3">
        <v>161.414571506881</v>
      </c>
      <c r="P14" s="3">
        <v>-11789.409681429601</v>
      </c>
      <c r="Q14" s="3">
        <v>-10778.909681429601</v>
      </c>
      <c r="R14" s="3">
        <v>12.338755371292363</v>
      </c>
      <c r="S14" s="3">
        <v>7557.3059999999996</v>
      </c>
      <c r="T14" s="3">
        <v>932.47749999999996</v>
      </c>
    </row>
    <row r="15" spans="1:20" x14ac:dyDescent="0.2">
      <c r="A15" s="3">
        <v>1300</v>
      </c>
      <c r="B15" s="3">
        <v>20.543512105941701</v>
      </c>
      <c r="C15" s="3">
        <v>-7273.5479366167301</v>
      </c>
      <c r="D15" s="3">
        <v>-11323.4406814296</v>
      </c>
      <c r="E15" s="3">
        <v>355</v>
      </c>
      <c r="F15" s="3">
        <v>390</v>
      </c>
      <c r="G15" s="3">
        <v>415</v>
      </c>
      <c r="H15" s="3">
        <v>417</v>
      </c>
      <c r="I15" s="3">
        <v>408</v>
      </c>
      <c r="J15" s="3">
        <v>187.828</v>
      </c>
      <c r="K15" s="3">
        <v>332.83800000000002</v>
      </c>
      <c r="L15" s="3">
        <v>2885.09031857031</v>
      </c>
      <c r="M15" s="3">
        <v>27053.197</v>
      </c>
      <c r="N15" s="3">
        <v>12844.665999999999</v>
      </c>
      <c r="O15" s="3">
        <v>161.29675225806599</v>
      </c>
      <c r="P15" s="3">
        <v>-11789.409681429601</v>
      </c>
      <c r="Q15" s="3">
        <v>-10778.909681429601</v>
      </c>
      <c r="R15" s="3">
        <v>12.34588754246553</v>
      </c>
      <c r="S15" s="3">
        <v>7557.3059999999996</v>
      </c>
      <c r="T15" s="3">
        <v>933.01649999999995</v>
      </c>
    </row>
    <row r="16" spans="1:20" x14ac:dyDescent="0.2">
      <c r="A16" s="3">
        <v>1400</v>
      </c>
      <c r="B16" s="3">
        <v>25.358647108077999</v>
      </c>
      <c r="C16" s="3">
        <v>-7112.95008887719</v>
      </c>
      <c r="D16" s="3">
        <v>-11323.2256814296</v>
      </c>
      <c r="E16" s="3">
        <v>364</v>
      </c>
      <c r="F16" s="3">
        <v>381</v>
      </c>
      <c r="G16" s="3">
        <v>415</v>
      </c>
      <c r="H16" s="3">
        <v>417</v>
      </c>
      <c r="I16" s="3">
        <v>408</v>
      </c>
      <c r="J16" s="3">
        <v>187.85599999999999</v>
      </c>
      <c r="K16" s="3">
        <v>333.34800000000001</v>
      </c>
      <c r="L16" s="3">
        <v>2885.09031857031</v>
      </c>
      <c r="M16" s="3">
        <v>27063.751</v>
      </c>
      <c r="N16" s="3">
        <v>12855.434999999999</v>
      </c>
      <c r="O16" s="3">
        <v>161.35830670901299</v>
      </c>
      <c r="P16" s="3">
        <v>-11789.409681429601</v>
      </c>
      <c r="Q16" s="3">
        <v>-10778.909681429601</v>
      </c>
      <c r="R16" s="3">
        <v>12.349136054567593</v>
      </c>
      <c r="S16" s="3">
        <v>7557.3059999999996</v>
      </c>
      <c r="T16" s="3">
        <v>933.26199999999994</v>
      </c>
    </row>
    <row r="17" spans="1:20" x14ac:dyDescent="0.2">
      <c r="A17" s="31">
        <v>1500</v>
      </c>
      <c r="B17" s="31">
        <v>23.825008153915402</v>
      </c>
      <c r="C17" s="31">
        <v>-6952.8966114793202</v>
      </c>
      <c r="D17" s="31">
        <v>-11322.704181429601</v>
      </c>
      <c r="E17" s="3">
        <v>373</v>
      </c>
      <c r="F17" s="3">
        <v>372</v>
      </c>
      <c r="G17" s="3">
        <v>415</v>
      </c>
      <c r="H17" s="3">
        <v>417</v>
      </c>
      <c r="I17" s="3">
        <v>408</v>
      </c>
      <c r="J17" s="3">
        <v>187.50800000000001</v>
      </c>
      <c r="K17" s="3">
        <v>331.416</v>
      </c>
      <c r="L17" s="3">
        <v>2885.09031857031</v>
      </c>
      <c r="M17" s="3">
        <v>27036.499</v>
      </c>
      <c r="N17" s="3">
        <v>12828.7045</v>
      </c>
      <c r="O17" s="3">
        <v>161.414571506881</v>
      </c>
      <c r="P17" s="3">
        <v>-11789.409681429601</v>
      </c>
      <c r="Q17" s="3">
        <v>-10778.909681429601</v>
      </c>
      <c r="R17" s="3">
        <v>12.338755371292363</v>
      </c>
      <c r="S17" s="3">
        <v>7557.3059999999996</v>
      </c>
      <c r="T17" s="3">
        <v>932.47749999999996</v>
      </c>
    </row>
    <row r="18" spans="1:20" x14ac:dyDescent="0.2">
      <c r="A18" s="3">
        <v>1600</v>
      </c>
      <c r="B18" s="3">
        <v>21.226257801055901</v>
      </c>
      <c r="C18" s="3">
        <v>-6793.7496784204104</v>
      </c>
      <c r="D18" s="3">
        <v>-11323.2256814296</v>
      </c>
      <c r="E18" s="3">
        <v>364</v>
      </c>
      <c r="F18" s="3">
        <v>381</v>
      </c>
      <c r="G18" s="3">
        <v>415</v>
      </c>
      <c r="H18" s="3">
        <v>417</v>
      </c>
      <c r="I18" s="3">
        <v>408</v>
      </c>
      <c r="J18" s="3">
        <v>187.85599999999999</v>
      </c>
      <c r="K18" s="3">
        <v>333.34800000000001</v>
      </c>
      <c r="L18" s="3">
        <v>2885.09031857031</v>
      </c>
      <c r="M18" s="3">
        <v>27063.751</v>
      </c>
      <c r="N18" s="3">
        <v>12855.434999999999</v>
      </c>
      <c r="O18" s="3">
        <v>161.35830670901299</v>
      </c>
      <c r="P18" s="3">
        <v>-11789.409681429601</v>
      </c>
      <c r="Q18" s="3">
        <v>-10778.909681429601</v>
      </c>
      <c r="R18" s="3">
        <v>12.349136054567593</v>
      </c>
      <c r="S18" s="3">
        <v>7557.3059999999996</v>
      </c>
      <c r="T18" s="3">
        <v>933.26199999999994</v>
      </c>
    </row>
    <row r="19" spans="1:20" x14ac:dyDescent="0.2">
      <c r="A19" s="3">
        <v>1700</v>
      </c>
      <c r="B19" s="3">
        <v>19.791898012161202</v>
      </c>
      <c r="C19" s="3">
        <v>-6638.9707911165597</v>
      </c>
      <c r="D19" s="3">
        <v>-11323.4841814296</v>
      </c>
      <c r="E19" s="3">
        <v>343</v>
      </c>
      <c r="F19" s="3">
        <v>402</v>
      </c>
      <c r="G19" s="3">
        <v>415</v>
      </c>
      <c r="H19" s="3">
        <v>417</v>
      </c>
      <c r="I19" s="3">
        <v>408</v>
      </c>
      <c r="J19" s="3">
        <v>187.72800000000001</v>
      </c>
      <c r="K19" s="3">
        <v>331.49</v>
      </c>
      <c r="L19" s="3">
        <v>2885.09031857031</v>
      </c>
      <c r="M19" s="3">
        <v>27036.151000000002</v>
      </c>
      <c r="N19" s="3">
        <v>12827.576499999999</v>
      </c>
      <c r="O19" s="3">
        <v>161.28429270933299</v>
      </c>
      <c r="P19" s="3">
        <v>-11789.409681429601</v>
      </c>
      <c r="Q19" s="3">
        <v>-10778.909681429601</v>
      </c>
      <c r="R19" s="3">
        <v>12.337703409124893</v>
      </c>
      <c r="S19" s="3">
        <v>7557.3059999999996</v>
      </c>
      <c r="T19" s="3">
        <v>932.39800000000002</v>
      </c>
    </row>
    <row r="20" spans="1:20" x14ac:dyDescent="0.2">
      <c r="A20" s="31">
        <v>1800</v>
      </c>
      <c r="B20" s="31">
        <v>24.056714057922299</v>
      </c>
      <c r="C20" s="31">
        <v>-6484.6286395159896</v>
      </c>
      <c r="D20" s="31">
        <v>-11322.704181429601</v>
      </c>
      <c r="E20" s="3">
        <v>373</v>
      </c>
      <c r="F20" s="3">
        <v>372</v>
      </c>
      <c r="G20" s="3">
        <v>415</v>
      </c>
      <c r="H20" s="3">
        <v>417</v>
      </c>
      <c r="I20" s="3">
        <v>408</v>
      </c>
      <c r="J20" s="3">
        <v>187.50800000000001</v>
      </c>
      <c r="K20" s="3">
        <v>331.416</v>
      </c>
      <c r="L20" s="3">
        <v>2885.09031857031</v>
      </c>
      <c r="M20" s="3">
        <v>27036.499</v>
      </c>
      <c r="N20" s="3">
        <v>12828.7045</v>
      </c>
      <c r="O20" s="3">
        <v>161.414571506881</v>
      </c>
      <c r="P20" s="3">
        <v>-11789.409681429601</v>
      </c>
      <c r="Q20" s="3">
        <v>-10778.909681429601</v>
      </c>
      <c r="R20" s="3">
        <v>12.338755371292363</v>
      </c>
      <c r="S20" s="3">
        <v>7557.3059999999996</v>
      </c>
      <c r="T20" s="3">
        <v>932.47749999999996</v>
      </c>
    </row>
    <row r="21" spans="1:20" x14ac:dyDescent="0.2">
      <c r="A21" s="3">
        <v>1900</v>
      </c>
      <c r="B21" s="3">
        <v>23.7457211017608</v>
      </c>
      <c r="C21" s="3">
        <v>-6331.7454106690402</v>
      </c>
      <c r="D21" s="3">
        <v>-11322.704181429601</v>
      </c>
      <c r="E21" s="3">
        <v>373</v>
      </c>
      <c r="F21" s="3">
        <v>372</v>
      </c>
      <c r="G21" s="3">
        <v>415</v>
      </c>
      <c r="H21" s="3">
        <v>417</v>
      </c>
      <c r="I21" s="3">
        <v>408</v>
      </c>
      <c r="J21" s="3">
        <v>187.50800000000001</v>
      </c>
      <c r="K21" s="3">
        <v>331.416</v>
      </c>
      <c r="L21" s="3">
        <v>2885.09031857031</v>
      </c>
      <c r="M21" s="3">
        <v>27036.499</v>
      </c>
      <c r="N21" s="3">
        <v>12828.7045</v>
      </c>
      <c r="O21" s="3">
        <v>161.414571506881</v>
      </c>
      <c r="P21" s="3">
        <v>-11789.409681429601</v>
      </c>
      <c r="Q21" s="3">
        <v>-10778.909681429601</v>
      </c>
      <c r="R21" s="3">
        <v>12.338755371292363</v>
      </c>
      <c r="S21" s="3">
        <v>7557.3059999999996</v>
      </c>
      <c r="T21" s="3">
        <v>932.47749999999996</v>
      </c>
    </row>
    <row r="22" spans="1:20" x14ac:dyDescent="0.2">
      <c r="A22" s="3">
        <v>2000</v>
      </c>
      <c r="B22" s="3">
        <v>20.015951871871899</v>
      </c>
      <c r="C22" s="3">
        <v>-6180.6654246729204</v>
      </c>
      <c r="D22" s="3">
        <v>-11323.479681429601</v>
      </c>
      <c r="E22" s="3">
        <v>342</v>
      </c>
      <c r="F22" s="3">
        <v>403</v>
      </c>
      <c r="G22" s="3">
        <v>415</v>
      </c>
      <c r="H22" s="3">
        <v>417</v>
      </c>
      <c r="I22" s="3">
        <v>408</v>
      </c>
      <c r="J22" s="3">
        <v>188.29400000000001</v>
      </c>
      <c r="K22" s="3">
        <v>332.666</v>
      </c>
      <c r="L22" s="3">
        <v>2885.09031857031</v>
      </c>
      <c r="M22" s="3">
        <v>27052.829000000002</v>
      </c>
      <c r="N22" s="3">
        <v>12844.259</v>
      </c>
      <c r="O22" s="3">
        <v>161.28562273184701</v>
      </c>
      <c r="P22" s="3">
        <v>-11789.409681429601</v>
      </c>
      <c r="Q22" s="3">
        <v>-10778.909681429601</v>
      </c>
      <c r="R22" s="3">
        <v>12.341752471052516</v>
      </c>
      <c r="S22" s="3">
        <v>7557.3059999999996</v>
      </c>
      <c r="T22" s="3">
        <v>932.70399999999995</v>
      </c>
    </row>
    <row r="23" spans="1:20" x14ac:dyDescent="0.2">
      <c r="A23" s="31">
        <v>2100</v>
      </c>
      <c r="B23" s="31">
        <v>18.568958044052099</v>
      </c>
      <c r="C23" s="31">
        <v>-6032.5117889025396</v>
      </c>
      <c r="D23" s="31">
        <v>-11322.704181429601</v>
      </c>
      <c r="E23" s="30">
        <v>373</v>
      </c>
      <c r="F23" s="30">
        <v>372</v>
      </c>
      <c r="G23" s="30">
        <v>415</v>
      </c>
      <c r="H23" s="30">
        <v>417</v>
      </c>
      <c r="I23" s="30">
        <v>408</v>
      </c>
      <c r="J23" s="3">
        <v>187.50800000000001</v>
      </c>
      <c r="K23" s="3">
        <v>331.416</v>
      </c>
      <c r="L23" s="3">
        <v>2885.09031857031</v>
      </c>
      <c r="M23" s="3">
        <v>27036.499</v>
      </c>
      <c r="N23" s="3">
        <v>12828.7045</v>
      </c>
      <c r="O23" s="3">
        <v>161.414571506881</v>
      </c>
      <c r="P23" s="3">
        <v>-11789.409681429601</v>
      </c>
      <c r="Q23" s="3">
        <v>-10778.909681429601</v>
      </c>
      <c r="R23" s="3">
        <v>12.338755371292363</v>
      </c>
      <c r="S23" s="3">
        <v>7557.3059999999996</v>
      </c>
      <c r="T23" s="3">
        <v>932.47749999999996</v>
      </c>
    </row>
    <row r="24" spans="1:20" x14ac:dyDescent="0.2">
      <c r="A24" s="3">
        <v>2200</v>
      </c>
      <c r="B24" s="3">
        <v>19.541923999786299</v>
      </c>
      <c r="C24" s="3">
        <v>-5889.7286003473801</v>
      </c>
      <c r="D24" s="3">
        <v>-11323.389504233501</v>
      </c>
      <c r="E24" s="3">
        <v>358.10885980698703</v>
      </c>
      <c r="F24" s="3">
        <v>386.89114019301201</v>
      </c>
      <c r="G24" s="3">
        <v>415</v>
      </c>
      <c r="H24" s="3">
        <v>417</v>
      </c>
      <c r="I24" s="3">
        <v>408</v>
      </c>
      <c r="J24" s="3">
        <v>187.50800000000001</v>
      </c>
      <c r="K24" s="3">
        <v>331.416</v>
      </c>
      <c r="L24" s="3">
        <v>2885.09031857031</v>
      </c>
      <c r="M24" s="3">
        <v>27071.018782280298</v>
      </c>
      <c r="N24" s="3">
        <v>12862.5389594765</v>
      </c>
      <c r="O24" s="3">
        <v>161.31340042151299</v>
      </c>
      <c r="P24" s="3">
        <v>-11789.409681429601</v>
      </c>
      <c r="Q24" s="3">
        <v>-10778.909681429601</v>
      </c>
      <c r="R24" s="3">
        <v>12.356055789855487</v>
      </c>
      <c r="S24" s="3">
        <v>7557.3059999999996</v>
      </c>
      <c r="T24" s="3">
        <v>933.78494557009606</v>
      </c>
    </row>
    <row r="25" spans="1:20" x14ac:dyDescent="0.2">
      <c r="A25" s="3">
        <v>2300</v>
      </c>
      <c r="B25" s="3">
        <v>23.913261890411299</v>
      </c>
      <c r="C25" s="3">
        <v>-5764.9796476102101</v>
      </c>
      <c r="D25" s="3">
        <v>-11322.704181429601</v>
      </c>
      <c r="E25" s="3">
        <v>373</v>
      </c>
      <c r="F25" s="3">
        <v>372</v>
      </c>
      <c r="G25" s="3">
        <v>415</v>
      </c>
      <c r="H25" s="3">
        <v>417</v>
      </c>
      <c r="I25" s="3">
        <v>408</v>
      </c>
      <c r="J25" s="3">
        <v>187.50800000000001</v>
      </c>
      <c r="K25" s="3">
        <v>331.416</v>
      </c>
      <c r="L25" s="3">
        <v>2885.09031857031</v>
      </c>
      <c r="M25" s="3">
        <v>27036.499</v>
      </c>
      <c r="N25" s="3">
        <v>12828.7045</v>
      </c>
      <c r="O25" s="3">
        <v>161.414571506881</v>
      </c>
      <c r="P25" s="3">
        <v>-11789.409681429601</v>
      </c>
      <c r="Q25" s="3">
        <v>-10778.909681429601</v>
      </c>
      <c r="R25" s="3">
        <v>12.338755371292363</v>
      </c>
      <c r="S25" s="3">
        <v>7557.3059999999996</v>
      </c>
      <c r="T25" s="3">
        <v>932.47749999999996</v>
      </c>
    </row>
    <row r="26" spans="1:20" x14ac:dyDescent="0.2">
      <c r="A26" s="31">
        <v>2400</v>
      </c>
      <c r="B26" s="31">
        <v>20.434259891509999</v>
      </c>
      <c r="C26" s="31">
        <v>-5656.7025385725401</v>
      </c>
      <c r="D26" s="31">
        <v>-11302.0170385725</v>
      </c>
      <c r="E26" s="3">
        <v>373</v>
      </c>
      <c r="F26" s="3">
        <v>372</v>
      </c>
      <c r="G26" s="3">
        <v>415</v>
      </c>
      <c r="H26" s="3">
        <v>417</v>
      </c>
      <c r="I26" s="3">
        <v>396</v>
      </c>
      <c r="J26" s="3">
        <v>183.28399999999999</v>
      </c>
      <c r="K26" s="3">
        <v>331.262</v>
      </c>
      <c r="L26" s="3">
        <v>2848.94746142745</v>
      </c>
      <c r="M26" s="3">
        <v>26916.73</v>
      </c>
      <c r="N26" s="3">
        <v>12765.7655</v>
      </c>
      <c r="O26" s="3">
        <v>160.833935675124</v>
      </c>
      <c r="P26" s="3">
        <v>-11765.5525385725</v>
      </c>
      <c r="Q26" s="3">
        <v>-10773.0525385725</v>
      </c>
      <c r="R26" s="3">
        <v>12.286289585204042</v>
      </c>
      <c r="S26" s="3">
        <v>7557.3059999999996</v>
      </c>
      <c r="T26" s="3">
        <v>928.51250000000005</v>
      </c>
    </row>
    <row r="27" spans="1:20" x14ac:dyDescent="0.2">
      <c r="A27" s="3">
        <v>2500</v>
      </c>
      <c r="B27" s="3">
        <v>20.368597984313901</v>
      </c>
      <c r="C27" s="3">
        <v>-5556.6983386768197</v>
      </c>
      <c r="D27" s="3">
        <v>-11302.0170385725</v>
      </c>
      <c r="E27" s="3">
        <v>373</v>
      </c>
      <c r="F27" s="3">
        <v>372</v>
      </c>
      <c r="G27" s="3">
        <v>415</v>
      </c>
      <c r="H27" s="3">
        <v>417</v>
      </c>
      <c r="I27" s="3">
        <v>396</v>
      </c>
      <c r="J27" s="3">
        <v>183.28399999999999</v>
      </c>
      <c r="K27" s="3">
        <v>331.262</v>
      </c>
      <c r="L27" s="3">
        <v>2848.94746142745</v>
      </c>
      <c r="M27" s="3">
        <v>26916.73</v>
      </c>
      <c r="N27" s="3">
        <v>12765.7655</v>
      </c>
      <c r="O27" s="3">
        <v>160.833935675124</v>
      </c>
      <c r="P27" s="3">
        <v>-11765.5525385725</v>
      </c>
      <c r="Q27" s="3">
        <v>-10773.0525385725</v>
      </c>
      <c r="R27" s="3">
        <v>12.286289585204042</v>
      </c>
      <c r="S27" s="3">
        <v>7557.3059999999996</v>
      </c>
      <c r="T27" s="3">
        <v>928.51250000000005</v>
      </c>
    </row>
    <row r="28" spans="1:20" x14ac:dyDescent="0.2">
      <c r="A28" s="3">
        <v>2600</v>
      </c>
      <c r="B28" s="3">
        <v>29.1813850402832</v>
      </c>
      <c r="C28" s="3">
        <v>-5467.7303251968697</v>
      </c>
      <c r="D28" s="3">
        <v>-11153.503799702999</v>
      </c>
      <c r="E28" s="3">
        <v>324.60975609756099</v>
      </c>
      <c r="F28" s="3">
        <v>372</v>
      </c>
      <c r="G28" s="3">
        <v>415</v>
      </c>
      <c r="H28" s="3">
        <v>417</v>
      </c>
      <c r="I28" s="3">
        <v>371.951219512195</v>
      </c>
      <c r="J28" s="3">
        <v>160.364146341463</v>
      </c>
      <c r="K28" s="3">
        <v>332.11399999999998</v>
      </c>
      <c r="L28" s="3">
        <v>2630.85699297991</v>
      </c>
      <c r="M28" s="3">
        <v>26197.017243902301</v>
      </c>
      <c r="N28" s="3">
        <v>12412.6564512194</v>
      </c>
      <c r="O28" s="3">
        <v>154.32527137680901</v>
      </c>
      <c r="P28" s="3">
        <v>-11551.7283728737</v>
      </c>
      <c r="Q28" s="3">
        <v>-10628.947885068799</v>
      </c>
      <c r="R28" s="3">
        <v>11.96430202289222</v>
      </c>
      <c r="S28" s="3">
        <v>7557.3059999999996</v>
      </c>
      <c r="T28" s="3">
        <v>904.17891463415503</v>
      </c>
    </row>
    <row r="29" spans="1:20" x14ac:dyDescent="0.2">
      <c r="A29" s="31">
        <v>2700</v>
      </c>
      <c r="B29" s="31">
        <v>22.7894399166107</v>
      </c>
      <c r="C29" s="31">
        <v>-5418.6118750284304</v>
      </c>
      <c r="D29" s="31">
        <v>-11122.3272766677</v>
      </c>
      <c r="E29" s="3">
        <v>316</v>
      </c>
      <c r="F29" s="3">
        <v>372</v>
      </c>
      <c r="G29" s="3">
        <v>415</v>
      </c>
      <c r="H29" s="3">
        <v>417</v>
      </c>
      <c r="I29" s="3">
        <v>367</v>
      </c>
      <c r="J29" s="3">
        <v>158.47399999999999</v>
      </c>
      <c r="K29" s="3">
        <v>335.65800000000002</v>
      </c>
      <c r="L29" s="3">
        <v>2590.0422233322201</v>
      </c>
      <c r="M29" s="3">
        <v>26106.983</v>
      </c>
      <c r="N29" s="3">
        <v>12394.613499999999</v>
      </c>
      <c r="O29" s="3">
        <v>151.170096562613</v>
      </c>
      <c r="P29" s="3">
        <v>-11517.957776667699</v>
      </c>
      <c r="Q29" s="3">
        <v>-10601.957776667699</v>
      </c>
      <c r="R29" s="3">
        <v>11.910533991874884</v>
      </c>
      <c r="S29" s="3">
        <v>7557.3059999999996</v>
      </c>
      <c r="T29" s="3">
        <v>900.1155</v>
      </c>
    </row>
    <row r="30" spans="1:20" x14ac:dyDescent="0.2">
      <c r="A30" s="3">
        <v>2800</v>
      </c>
      <c r="B30" s="3">
        <v>7.9649930000305096</v>
      </c>
      <c r="C30" s="3">
        <v>-5414.9577766677703</v>
      </c>
      <c r="D30" s="3">
        <v>-11125.894776667699</v>
      </c>
      <c r="E30" s="30">
        <v>307</v>
      </c>
      <c r="F30" s="30">
        <v>399</v>
      </c>
      <c r="G30" s="30">
        <v>415</v>
      </c>
      <c r="H30" s="30">
        <v>399</v>
      </c>
      <c r="I30" s="30">
        <v>367</v>
      </c>
      <c r="J30" s="3">
        <v>159.03800000000001</v>
      </c>
      <c r="K30" s="3">
        <v>331.9</v>
      </c>
      <c r="L30" s="3">
        <v>2590.0422233322201</v>
      </c>
      <c r="M30" s="3">
        <v>26046.573</v>
      </c>
      <c r="N30" s="3">
        <v>12330.636</v>
      </c>
      <c r="O30" s="3">
        <v>151.26822710338001</v>
      </c>
      <c r="P30" s="3">
        <v>-11523.457776667699</v>
      </c>
      <c r="Q30" s="3">
        <v>-10601.957776667699</v>
      </c>
      <c r="R30" s="3">
        <v>11.881919297696825</v>
      </c>
      <c r="S30" s="3">
        <v>7557.3059999999996</v>
      </c>
      <c r="T30" s="3">
        <v>897.95299999999997</v>
      </c>
    </row>
    <row r="31" spans="1:20" x14ac:dyDescent="0.2">
      <c r="A31" s="3">
        <v>2900</v>
      </c>
      <c r="B31" s="3">
        <v>7.80509281158447</v>
      </c>
      <c r="C31" s="3">
        <v>-5414.9577766677703</v>
      </c>
      <c r="D31" s="3">
        <v>-11125.894776667699</v>
      </c>
      <c r="E31" s="3">
        <v>307</v>
      </c>
      <c r="F31" s="3">
        <v>399</v>
      </c>
      <c r="G31" s="3">
        <v>415</v>
      </c>
      <c r="H31" s="3">
        <v>399</v>
      </c>
      <c r="I31" s="3">
        <v>367</v>
      </c>
      <c r="J31" s="3">
        <v>159.03800000000001</v>
      </c>
      <c r="K31" s="3">
        <v>331.9</v>
      </c>
      <c r="L31" s="3">
        <v>2590.0422233322201</v>
      </c>
      <c r="M31" s="3">
        <v>26046.573</v>
      </c>
      <c r="N31" s="3">
        <v>12330.636</v>
      </c>
      <c r="O31" s="3">
        <v>151.26822710338001</v>
      </c>
      <c r="P31" s="3">
        <v>-11523.457776667699</v>
      </c>
      <c r="Q31" s="3">
        <v>-10601.957776667699</v>
      </c>
      <c r="R31" s="3">
        <v>11.881919297696825</v>
      </c>
      <c r="S31" s="3">
        <v>7557.3059999999996</v>
      </c>
      <c r="T31" s="3">
        <v>897.95299999999997</v>
      </c>
    </row>
    <row r="32" spans="1:20" x14ac:dyDescent="0.2">
      <c r="A32" s="3">
        <v>3000</v>
      </c>
      <c r="B32" s="3">
        <v>8.0095689296722394</v>
      </c>
      <c r="C32" s="3">
        <v>-5414.9577766677703</v>
      </c>
      <c r="D32" s="3">
        <v>-11125.894776667699</v>
      </c>
      <c r="E32" s="3">
        <v>307</v>
      </c>
      <c r="F32" s="3">
        <v>399</v>
      </c>
      <c r="G32" s="3">
        <v>415</v>
      </c>
      <c r="H32" s="3">
        <v>399</v>
      </c>
      <c r="I32" s="3">
        <v>367</v>
      </c>
      <c r="J32" s="3">
        <v>159.03800000000001</v>
      </c>
      <c r="K32" s="3">
        <v>331.9</v>
      </c>
      <c r="L32" s="3">
        <v>2590.0422233322201</v>
      </c>
      <c r="M32" s="3">
        <v>26046.573</v>
      </c>
      <c r="N32" s="3">
        <v>12330.636</v>
      </c>
      <c r="O32" s="3">
        <v>151.26822710338001</v>
      </c>
      <c r="P32" s="3">
        <v>-11523.457776667699</v>
      </c>
      <c r="Q32" s="3">
        <v>-10601.957776667699</v>
      </c>
      <c r="R32" s="3">
        <v>11.881919297696825</v>
      </c>
      <c r="S32" s="3">
        <v>7557.3059999999996</v>
      </c>
      <c r="T32" s="3">
        <v>897.95299999999997</v>
      </c>
    </row>
    <row r="33" spans="1:20" x14ac:dyDescent="0.2">
      <c r="A33" s="3">
        <v>3100</v>
      </c>
      <c r="B33" s="3">
        <v>8.5694229602813703</v>
      </c>
      <c r="C33" s="3">
        <v>-5414.9577766677703</v>
      </c>
      <c r="D33" s="3">
        <v>-11125.894776667699</v>
      </c>
      <c r="E33" s="3">
        <v>307</v>
      </c>
      <c r="F33" s="3">
        <v>399</v>
      </c>
      <c r="G33" s="3">
        <v>415</v>
      </c>
      <c r="H33" s="3">
        <v>399</v>
      </c>
      <c r="I33" s="3">
        <v>367</v>
      </c>
      <c r="J33" s="3">
        <v>159.03800000000001</v>
      </c>
      <c r="K33" s="3">
        <v>331.9</v>
      </c>
      <c r="L33" s="3">
        <v>2590.0422233322201</v>
      </c>
      <c r="M33" s="3">
        <v>26046.573</v>
      </c>
      <c r="N33" s="3">
        <v>12330.636</v>
      </c>
      <c r="O33" s="3">
        <v>151.26822710338001</v>
      </c>
      <c r="P33" s="3">
        <v>-11523.457776667699</v>
      </c>
      <c r="Q33" s="3">
        <v>-10601.957776667699</v>
      </c>
      <c r="R33" s="3">
        <v>11.881919297696825</v>
      </c>
      <c r="S33" s="3">
        <v>7557.3059999999996</v>
      </c>
      <c r="T33" s="3">
        <v>897.95299999999997</v>
      </c>
    </row>
    <row r="34" spans="1:20" x14ac:dyDescent="0.2">
      <c r="A34" s="3">
        <v>3200</v>
      </c>
      <c r="B34" s="3">
        <v>7.7806918621063197</v>
      </c>
      <c r="C34" s="3">
        <v>-5414.9577766677703</v>
      </c>
      <c r="D34" s="3">
        <v>-11125.894776667699</v>
      </c>
      <c r="E34" s="3">
        <v>307</v>
      </c>
      <c r="F34" s="3">
        <v>399</v>
      </c>
      <c r="G34" s="3">
        <v>415</v>
      </c>
      <c r="H34" s="3">
        <v>399</v>
      </c>
      <c r="I34" s="3">
        <v>367</v>
      </c>
      <c r="J34" s="3">
        <v>159.03800000000001</v>
      </c>
      <c r="K34" s="3">
        <v>331.9</v>
      </c>
      <c r="L34" s="3">
        <v>2590.0422233322201</v>
      </c>
      <c r="M34" s="3">
        <v>26046.573</v>
      </c>
      <c r="N34" s="3">
        <v>12330.636</v>
      </c>
      <c r="O34" s="3">
        <v>151.26822710338001</v>
      </c>
      <c r="P34" s="3">
        <v>-11523.457776667699</v>
      </c>
      <c r="Q34" s="3">
        <v>-10601.957776667699</v>
      </c>
      <c r="R34" s="3">
        <v>11.881919297696825</v>
      </c>
      <c r="S34" s="3">
        <v>7557.3059999999996</v>
      </c>
      <c r="T34" s="3">
        <v>897.95299999999997</v>
      </c>
    </row>
    <row r="35" spans="1:20" x14ac:dyDescent="0.2">
      <c r="A35" s="3">
        <v>3300</v>
      </c>
      <c r="B35" s="3">
        <v>7.7767159938812203</v>
      </c>
      <c r="C35" s="3">
        <v>-5414.9577766677703</v>
      </c>
      <c r="D35" s="3">
        <v>-11125.894776667699</v>
      </c>
      <c r="E35" s="3">
        <v>307</v>
      </c>
      <c r="F35" s="3">
        <v>399</v>
      </c>
      <c r="G35" s="3">
        <v>415</v>
      </c>
      <c r="H35" s="3">
        <v>399</v>
      </c>
      <c r="I35" s="3">
        <v>367</v>
      </c>
      <c r="J35" s="3">
        <v>159.03800000000001</v>
      </c>
      <c r="K35" s="3">
        <v>331.9</v>
      </c>
      <c r="L35" s="3">
        <v>2590.0422233322201</v>
      </c>
      <c r="M35" s="3">
        <v>26046.573</v>
      </c>
      <c r="N35" s="3">
        <v>12330.636</v>
      </c>
      <c r="O35" s="3">
        <v>151.26822710338001</v>
      </c>
      <c r="P35" s="3">
        <v>-11523.457776667699</v>
      </c>
      <c r="Q35" s="3">
        <v>-10601.957776667699</v>
      </c>
      <c r="R35" s="3">
        <v>11.881919297696825</v>
      </c>
      <c r="S35" s="3">
        <v>7557.3059999999996</v>
      </c>
      <c r="T35" s="3">
        <v>897.95299999999997</v>
      </c>
    </row>
    <row r="36" spans="1:20" x14ac:dyDescent="0.2">
      <c r="A36" s="3">
        <v>3400</v>
      </c>
      <c r="B36" s="3">
        <v>7.7974140644073398</v>
      </c>
      <c r="C36" s="3">
        <v>-5414.9577766677703</v>
      </c>
      <c r="D36" s="3">
        <v>-11125.894776667699</v>
      </c>
      <c r="E36" s="3">
        <v>307</v>
      </c>
      <c r="F36" s="3">
        <v>399</v>
      </c>
      <c r="G36" s="3">
        <v>415</v>
      </c>
      <c r="H36" s="3">
        <v>399</v>
      </c>
      <c r="I36" s="3">
        <v>367</v>
      </c>
      <c r="J36" s="3">
        <v>159.03800000000001</v>
      </c>
      <c r="K36" s="3">
        <v>331.9</v>
      </c>
      <c r="L36" s="3">
        <v>2590.0422233322201</v>
      </c>
      <c r="M36" s="3">
        <v>26046.573</v>
      </c>
      <c r="N36" s="3">
        <v>12330.636</v>
      </c>
      <c r="O36" s="3">
        <v>151.26822710338001</v>
      </c>
      <c r="P36" s="3">
        <v>-11523.457776667699</v>
      </c>
      <c r="Q36" s="3">
        <v>-10601.957776667699</v>
      </c>
      <c r="R36" s="3">
        <v>11.881919297696825</v>
      </c>
      <c r="S36" s="3">
        <v>7557.3059999999996</v>
      </c>
      <c r="T36" s="3">
        <v>897.95299999999997</v>
      </c>
    </row>
    <row r="37" spans="1:20" x14ac:dyDescent="0.2">
      <c r="A37" s="3">
        <v>3500</v>
      </c>
      <c r="B37" s="3">
        <v>8.8819191455840993</v>
      </c>
      <c r="C37" s="3">
        <v>-5414.9577766677703</v>
      </c>
      <c r="D37" s="3">
        <v>-11125.894776667699</v>
      </c>
      <c r="E37" s="3">
        <v>307</v>
      </c>
      <c r="F37" s="3">
        <v>399</v>
      </c>
      <c r="G37" s="3">
        <v>415</v>
      </c>
      <c r="H37" s="3">
        <v>399</v>
      </c>
      <c r="I37" s="3">
        <v>367</v>
      </c>
      <c r="J37" s="3">
        <v>159.03800000000001</v>
      </c>
      <c r="K37" s="3">
        <v>331.9</v>
      </c>
      <c r="L37" s="3">
        <v>2590.0422233322201</v>
      </c>
      <c r="M37" s="3">
        <v>26046.573</v>
      </c>
      <c r="N37" s="3">
        <v>12330.636</v>
      </c>
      <c r="O37" s="3">
        <v>151.26822710338001</v>
      </c>
      <c r="P37" s="3">
        <v>-11523.457776667699</v>
      </c>
      <c r="Q37" s="3">
        <v>-10601.957776667699</v>
      </c>
      <c r="R37" s="3">
        <v>11.881919297696825</v>
      </c>
      <c r="S37" s="3">
        <v>7557.3059999999996</v>
      </c>
      <c r="T37" s="3">
        <v>897.95299999999997</v>
      </c>
    </row>
    <row r="38" spans="1:20" x14ac:dyDescent="0.2">
      <c r="A38" s="3">
        <v>3600</v>
      </c>
      <c r="B38" s="3">
        <v>7.8003072738647399</v>
      </c>
      <c r="C38" s="3">
        <v>-5414.9577766677703</v>
      </c>
      <c r="D38" s="3">
        <v>-11125.894776667699</v>
      </c>
      <c r="E38" s="3">
        <v>307</v>
      </c>
      <c r="F38" s="3">
        <v>399</v>
      </c>
      <c r="G38" s="3">
        <v>415</v>
      </c>
      <c r="H38" s="3">
        <v>399</v>
      </c>
      <c r="I38" s="3">
        <v>367</v>
      </c>
      <c r="J38" s="3">
        <v>159.03800000000001</v>
      </c>
      <c r="K38" s="3">
        <v>331.9</v>
      </c>
      <c r="L38" s="3">
        <v>2590.0422233322201</v>
      </c>
      <c r="M38" s="3">
        <v>26046.573</v>
      </c>
      <c r="N38" s="3">
        <v>12330.636</v>
      </c>
      <c r="O38" s="3">
        <v>151.26822710338001</v>
      </c>
      <c r="P38" s="3">
        <v>-11523.457776667699</v>
      </c>
      <c r="Q38" s="3">
        <v>-10601.957776667699</v>
      </c>
      <c r="R38" s="3">
        <v>11.881919297696825</v>
      </c>
      <c r="S38" s="3">
        <v>7557.3059999999996</v>
      </c>
      <c r="T38" s="3">
        <v>897.95299999999997</v>
      </c>
    </row>
    <row r="39" spans="1:20" x14ac:dyDescent="0.2">
      <c r="A39" s="3">
        <v>3700</v>
      </c>
      <c r="B39" s="3">
        <v>7.8984088897704998</v>
      </c>
      <c r="C39" s="3">
        <v>-5414.9577766677703</v>
      </c>
      <c r="D39" s="3">
        <v>-11125.894776667699</v>
      </c>
      <c r="E39" s="3">
        <v>307</v>
      </c>
      <c r="F39" s="3">
        <v>399</v>
      </c>
      <c r="G39" s="3">
        <v>415</v>
      </c>
      <c r="H39" s="3">
        <v>399</v>
      </c>
      <c r="I39" s="3">
        <v>367</v>
      </c>
      <c r="J39" s="3">
        <v>159.03800000000001</v>
      </c>
      <c r="K39" s="3">
        <v>331.9</v>
      </c>
      <c r="L39" s="3">
        <v>2590.0422233322201</v>
      </c>
      <c r="M39" s="3">
        <v>26046.573</v>
      </c>
      <c r="N39" s="3">
        <v>12330.636</v>
      </c>
      <c r="O39" s="3">
        <v>151.26822710338001</v>
      </c>
      <c r="P39" s="3">
        <v>-11523.457776667699</v>
      </c>
      <c r="Q39" s="3">
        <v>-10601.957776667699</v>
      </c>
      <c r="R39" s="3">
        <v>11.881919297696825</v>
      </c>
      <c r="S39" s="3">
        <v>7557.3059999999996</v>
      </c>
      <c r="T39" s="3">
        <v>897.95299999999997</v>
      </c>
    </row>
    <row r="40" spans="1:20" x14ac:dyDescent="0.2">
      <c r="A40" s="3">
        <v>3800</v>
      </c>
      <c r="B40" s="3">
        <v>8.0004761219024605</v>
      </c>
      <c r="C40" s="3">
        <v>-5414.9577766677703</v>
      </c>
      <c r="D40" s="3">
        <v>-11125.894776667699</v>
      </c>
      <c r="E40" s="3">
        <v>307</v>
      </c>
      <c r="F40" s="3">
        <v>399</v>
      </c>
      <c r="G40" s="3">
        <v>415</v>
      </c>
      <c r="H40" s="3">
        <v>399</v>
      </c>
      <c r="I40" s="3">
        <v>367</v>
      </c>
      <c r="J40" s="3">
        <v>159.03800000000001</v>
      </c>
      <c r="K40" s="3">
        <v>331.9</v>
      </c>
      <c r="L40" s="3">
        <v>2590.0422233322201</v>
      </c>
      <c r="M40" s="3">
        <v>26046.573</v>
      </c>
      <c r="N40" s="3">
        <v>12330.636</v>
      </c>
      <c r="O40" s="3">
        <v>151.26822710338001</v>
      </c>
      <c r="P40" s="3">
        <v>-11523.457776667699</v>
      </c>
      <c r="Q40" s="3">
        <v>-10601.957776667699</v>
      </c>
      <c r="R40" s="3">
        <v>11.881919297696825</v>
      </c>
      <c r="S40" s="3">
        <v>7557.3059999999996</v>
      </c>
      <c r="T40" s="3">
        <v>897.95299999999997</v>
      </c>
    </row>
    <row r="41" spans="1:20" x14ac:dyDescent="0.2">
      <c r="A41" s="3">
        <v>3900</v>
      </c>
      <c r="B41" s="3">
        <v>7.7361099720001203</v>
      </c>
      <c r="C41" s="3">
        <v>-5414.9577766677703</v>
      </c>
      <c r="D41" s="3">
        <v>-11125.894776667699</v>
      </c>
      <c r="E41" s="3">
        <v>307</v>
      </c>
      <c r="F41" s="3">
        <v>399</v>
      </c>
      <c r="G41" s="3">
        <v>415</v>
      </c>
      <c r="H41" s="3">
        <v>399</v>
      </c>
      <c r="I41" s="3">
        <v>367</v>
      </c>
      <c r="J41" s="3">
        <v>159.03800000000001</v>
      </c>
      <c r="K41" s="3">
        <v>331.9</v>
      </c>
      <c r="L41" s="3">
        <v>2590.0422233322201</v>
      </c>
      <c r="M41" s="3">
        <v>26046.573</v>
      </c>
      <c r="N41" s="3">
        <v>12330.636</v>
      </c>
      <c r="O41" s="3">
        <v>151.26822710338001</v>
      </c>
      <c r="P41" s="3">
        <v>-11523.457776667699</v>
      </c>
      <c r="Q41" s="3">
        <v>-10601.957776667699</v>
      </c>
      <c r="R41" s="3">
        <v>11.881919297696825</v>
      </c>
      <c r="S41" s="3">
        <v>7557.3059999999996</v>
      </c>
      <c r="T41" s="3">
        <v>897.95299999999997</v>
      </c>
    </row>
    <row r="42" spans="1:20" x14ac:dyDescent="0.2">
      <c r="A42" s="3">
        <v>4000</v>
      </c>
      <c r="B42" s="3">
        <v>7.9026520252227703</v>
      </c>
      <c r="C42" s="3">
        <v>-5414.9577766677703</v>
      </c>
      <c r="D42" s="3">
        <v>-11125.894776667699</v>
      </c>
      <c r="E42" s="3">
        <v>307</v>
      </c>
      <c r="F42" s="3">
        <v>399</v>
      </c>
      <c r="G42" s="3">
        <v>415</v>
      </c>
      <c r="H42" s="3">
        <v>399</v>
      </c>
      <c r="I42" s="3">
        <v>367</v>
      </c>
      <c r="J42" s="3">
        <v>159.03800000000001</v>
      </c>
      <c r="K42" s="3">
        <v>331.9</v>
      </c>
      <c r="L42" s="3">
        <v>2590.0422233322201</v>
      </c>
      <c r="M42" s="3">
        <v>26046.573</v>
      </c>
      <c r="N42" s="3">
        <v>12330.636</v>
      </c>
      <c r="O42" s="3">
        <v>151.26822710338001</v>
      </c>
      <c r="P42" s="3">
        <v>-11523.457776667699</v>
      </c>
      <c r="Q42" s="3">
        <v>-10601.957776667699</v>
      </c>
      <c r="R42" s="3">
        <v>11.881919297696825</v>
      </c>
      <c r="S42" s="3">
        <v>7557.3059999999996</v>
      </c>
      <c r="T42" s="3">
        <v>897.95299999999997</v>
      </c>
    </row>
    <row r="48" spans="1:20" x14ac:dyDescent="0.2">
      <c r="E48" s="14">
        <f>E3</f>
        <v>416</v>
      </c>
      <c r="F48" s="14">
        <f>F3</f>
        <v>375</v>
      </c>
      <c r="G48" s="14">
        <f t="shared" ref="G48:I48" si="0">G3</f>
        <v>415</v>
      </c>
      <c r="H48" s="14">
        <f t="shared" si="0"/>
        <v>414</v>
      </c>
      <c r="I48" s="14">
        <f t="shared" si="0"/>
        <v>415</v>
      </c>
    </row>
    <row r="49" spans="5:9" x14ac:dyDescent="0.2">
      <c r="E49" s="14">
        <f>E7</f>
        <v>381</v>
      </c>
      <c r="F49" s="14">
        <f>F7</f>
        <v>372</v>
      </c>
      <c r="G49" s="14">
        <f t="shared" ref="G49:I49" si="1">G7</f>
        <v>415</v>
      </c>
      <c r="H49" s="14">
        <f t="shared" si="1"/>
        <v>417</v>
      </c>
      <c r="I49" s="14">
        <f t="shared" si="1"/>
        <v>408</v>
      </c>
    </row>
    <row r="50" spans="5:9" x14ac:dyDescent="0.2">
      <c r="E50" s="14">
        <f>E23</f>
        <v>373</v>
      </c>
      <c r="F50" s="14">
        <f>F23</f>
        <v>372</v>
      </c>
      <c r="G50" s="14">
        <f t="shared" ref="G50:I50" si="2">G23</f>
        <v>415</v>
      </c>
      <c r="H50" s="14">
        <f t="shared" si="2"/>
        <v>417</v>
      </c>
      <c r="I50" s="14">
        <f t="shared" si="2"/>
        <v>408</v>
      </c>
    </row>
    <row r="51" spans="5:9" x14ac:dyDescent="0.2">
      <c r="E51" s="14">
        <f>E30</f>
        <v>307</v>
      </c>
      <c r="F51" s="14">
        <f>F30</f>
        <v>399</v>
      </c>
      <c r="G51" s="14">
        <f t="shared" ref="G51:I51" si="3">G30</f>
        <v>415</v>
      </c>
      <c r="H51" s="14">
        <f t="shared" si="3"/>
        <v>399</v>
      </c>
      <c r="I51" s="14">
        <f t="shared" si="3"/>
        <v>367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072E-8726-994A-8D83-E46EC8352FE4}">
  <dimension ref="A1:C11"/>
  <sheetViews>
    <sheetView workbookViewId="0"/>
  </sheetViews>
  <sheetFormatPr baseColWidth="10" defaultRowHeight="16" x14ac:dyDescent="0.2"/>
  <cols>
    <col min="1" max="1" width="29.6640625" bestFit="1" customWidth="1"/>
    <col min="2" max="2" width="23.1640625" bestFit="1" customWidth="1"/>
    <col min="3" max="3" width="23.6640625" bestFit="1" customWidth="1"/>
  </cols>
  <sheetData>
    <row r="1" spans="1:3" ht="18" x14ac:dyDescent="0.2">
      <c r="A1" s="4" t="s">
        <v>49</v>
      </c>
      <c r="B1" s="4" t="s">
        <v>50</v>
      </c>
      <c r="C1" s="4" t="s">
        <v>51</v>
      </c>
    </row>
    <row r="2" spans="1:3" ht="18" x14ac:dyDescent="0.2">
      <c r="A2" s="2">
        <v>10</v>
      </c>
      <c r="B2" s="9">
        <v>161.45761680623801</v>
      </c>
      <c r="C2" s="9">
        <v>-11330.242514763</v>
      </c>
    </row>
    <row r="3" spans="1:3" ht="18" x14ac:dyDescent="0.2">
      <c r="A3" s="2">
        <v>20</v>
      </c>
      <c r="B3" s="9">
        <v>150.85380682220099</v>
      </c>
      <c r="C3" s="9">
        <v>-11320.641181429601</v>
      </c>
    </row>
    <row r="4" spans="1:3" ht="18" x14ac:dyDescent="0.2">
      <c r="A4" s="2">
        <v>30</v>
      </c>
      <c r="B4" s="9">
        <v>157.24672253319301</v>
      </c>
      <c r="C4" s="9">
        <v>-11323.6955374134</v>
      </c>
    </row>
    <row r="5" spans="1:3" ht="18" x14ac:dyDescent="0.2">
      <c r="A5" s="2">
        <v>40</v>
      </c>
      <c r="B5" s="9">
        <v>152.88045757108199</v>
      </c>
      <c r="C5" s="9">
        <v>-11322.873673980799</v>
      </c>
    </row>
    <row r="6" spans="1:3" ht="18" x14ac:dyDescent="0.2">
      <c r="A6" s="2">
        <v>50</v>
      </c>
      <c r="B6" s="9">
        <v>153.49938025802001</v>
      </c>
      <c r="C6" s="9">
        <v>-11312.409897645801</v>
      </c>
    </row>
    <row r="7" spans="1:3" ht="18" x14ac:dyDescent="0.2">
      <c r="A7" s="2">
        <v>60</v>
      </c>
      <c r="B7" s="9">
        <v>146.66656115488601</v>
      </c>
      <c r="C7" s="9">
        <v>-11302.4426814296</v>
      </c>
    </row>
    <row r="8" spans="1:3" ht="18" x14ac:dyDescent="0.2">
      <c r="A8" s="2">
        <v>70</v>
      </c>
      <c r="B8" s="9">
        <v>139.00947847280401</v>
      </c>
      <c r="C8" s="9">
        <v>-11313.9614087024</v>
      </c>
    </row>
    <row r="9" spans="1:3" ht="18" x14ac:dyDescent="0.2">
      <c r="A9" s="2">
        <v>80</v>
      </c>
      <c r="B9" s="9">
        <v>156.76653452382601</v>
      </c>
      <c r="C9" s="9">
        <v>-11328.856578691601</v>
      </c>
    </row>
    <row r="10" spans="1:3" ht="18" x14ac:dyDescent="0.2">
      <c r="A10" s="2">
        <v>90</v>
      </c>
      <c r="B10" s="9">
        <v>151.023470480584</v>
      </c>
      <c r="C10" s="9">
        <v>-11324.1016814296</v>
      </c>
    </row>
    <row r="11" spans="1:3" ht="18" x14ac:dyDescent="0.2">
      <c r="A11" s="2">
        <v>100</v>
      </c>
      <c r="B11" s="9">
        <v>155.85401545912299</v>
      </c>
      <c r="C11" s="9">
        <v>-11314.3910111854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8518-9559-C244-95A0-EA0D9617BE7D}">
  <dimension ref="A1:M31"/>
  <sheetViews>
    <sheetView tabSelected="1" workbookViewId="0">
      <selection activeCell="H1" sqref="H1:J22"/>
    </sheetView>
  </sheetViews>
  <sheetFormatPr baseColWidth="10" defaultRowHeight="16" x14ac:dyDescent="0.2"/>
  <cols>
    <col min="2" max="3" width="11.83203125" bestFit="1" customWidth="1"/>
    <col min="5" max="5" width="20" bestFit="1" customWidth="1"/>
    <col min="6" max="6" width="21.5" bestFit="1" customWidth="1"/>
    <col min="7" max="7" width="17.33203125" bestFit="1" customWidth="1"/>
    <col min="8" max="8" width="19.83203125" bestFit="1" customWidth="1"/>
    <col min="9" max="9" width="10.5" bestFit="1" customWidth="1"/>
    <col min="10" max="10" width="22.5" bestFit="1" customWidth="1"/>
  </cols>
  <sheetData>
    <row r="1" spans="1:10" ht="18" x14ac:dyDescent="0.2">
      <c r="A1" s="4" t="s">
        <v>53</v>
      </c>
      <c r="B1" s="4" t="s">
        <v>54</v>
      </c>
      <c r="C1" s="4" t="s">
        <v>55</v>
      </c>
      <c r="D1" s="4" t="s">
        <v>56</v>
      </c>
      <c r="E1" s="4" t="s">
        <v>54</v>
      </c>
      <c r="F1" s="4" t="s">
        <v>55</v>
      </c>
      <c r="H1" s="4" t="s">
        <v>84</v>
      </c>
      <c r="I1" s="4" t="s">
        <v>75</v>
      </c>
      <c r="J1" s="4" t="s">
        <v>74</v>
      </c>
    </row>
    <row r="2" spans="1:10" ht="18" x14ac:dyDescent="0.2">
      <c r="A2" s="11">
        <v>0</v>
      </c>
      <c r="B2" s="10">
        <v>-5356.9096814296799</v>
      </c>
      <c r="C2" s="10">
        <v>-5280.4930147630103</v>
      </c>
      <c r="D2" s="11">
        <v>0</v>
      </c>
      <c r="E2" s="10">
        <v>-5343.8430147630097</v>
      </c>
      <c r="F2" s="10">
        <v>-5330.7096814296801</v>
      </c>
      <c r="H2" s="10">
        <f>((D2-$D$12)/$D$12)*100</f>
        <v>-100</v>
      </c>
      <c r="I2" s="14">
        <f>E2</f>
        <v>-5343.8430147630097</v>
      </c>
      <c r="J2" s="14">
        <f>B2</f>
        <v>-5356.9096814296799</v>
      </c>
    </row>
    <row r="3" spans="1:10" ht="18" x14ac:dyDescent="0.2">
      <c r="A3" s="11">
        <v>5</v>
      </c>
      <c r="B3" s="10">
        <v>-6154.5896814296802</v>
      </c>
      <c r="C3" s="10">
        <v>-6078.1730147630096</v>
      </c>
      <c r="D3" s="11">
        <v>1</v>
      </c>
      <c r="E3" s="10">
        <v>-6842.8430147630097</v>
      </c>
      <c r="F3" s="10">
        <v>-6829.7096814296801</v>
      </c>
      <c r="H3" s="10">
        <f t="shared" ref="H3:H22" si="0">((D3-$D$12)/$D$12)*100</f>
        <v>-90</v>
      </c>
      <c r="I3" s="14">
        <f t="shared" ref="I3:I22" si="1">E3</f>
        <v>-6842.8430147630097</v>
      </c>
      <c r="J3" s="14">
        <f t="shared" ref="J3:J22" si="2">B3</f>
        <v>-6154.5896814296802</v>
      </c>
    </row>
    <row r="4" spans="1:10" ht="18" x14ac:dyDescent="0.2">
      <c r="A4" s="11">
        <v>10</v>
      </c>
      <c r="B4" s="10">
        <v>-6934.35168142968</v>
      </c>
      <c r="C4" s="10">
        <v>-6857.9350147630103</v>
      </c>
      <c r="D4" s="11">
        <v>2</v>
      </c>
      <c r="E4" s="10">
        <v>-8235.6940147630103</v>
      </c>
      <c r="F4" s="10">
        <v>-8226.4646814296793</v>
      </c>
      <c r="H4" s="10">
        <f t="shared" si="0"/>
        <v>-80</v>
      </c>
      <c r="I4" s="14">
        <f t="shared" si="1"/>
        <v>-8235.6940147630103</v>
      </c>
      <c r="J4" s="14">
        <f t="shared" si="2"/>
        <v>-6934.35168142968</v>
      </c>
    </row>
    <row r="5" spans="1:10" ht="18" x14ac:dyDescent="0.2">
      <c r="A5" s="11">
        <v>15</v>
      </c>
      <c r="B5" s="10">
        <v>-7692.6976814296804</v>
      </c>
      <c r="C5" s="10">
        <v>-7616.2810147630098</v>
      </c>
      <c r="D5" s="11">
        <v>3</v>
      </c>
      <c r="E5" s="10">
        <v>-9342.1340147630108</v>
      </c>
      <c r="F5" s="10">
        <v>-9338.4036814296796</v>
      </c>
      <c r="H5" s="10">
        <f t="shared" si="0"/>
        <v>-70</v>
      </c>
      <c r="I5" s="14">
        <f t="shared" si="1"/>
        <v>-9342.1340147630108</v>
      </c>
      <c r="J5" s="14">
        <f t="shared" si="2"/>
        <v>-7692.6976814296804</v>
      </c>
    </row>
    <row r="6" spans="1:10" ht="18" x14ac:dyDescent="0.2">
      <c r="A6" s="11">
        <v>20</v>
      </c>
      <c r="B6" s="10">
        <v>-8234.8686814296798</v>
      </c>
      <c r="C6" s="10">
        <v>-8158.4520147630101</v>
      </c>
      <c r="D6" s="11">
        <v>4</v>
      </c>
      <c r="E6" s="10">
        <v>-10006.954014763</v>
      </c>
      <c r="F6" s="10">
        <v>-10005.9846814296</v>
      </c>
      <c r="H6" s="10">
        <f t="shared" si="0"/>
        <v>-60</v>
      </c>
      <c r="I6" s="14">
        <f t="shared" si="1"/>
        <v>-10006.954014763</v>
      </c>
      <c r="J6" s="14">
        <f t="shared" si="2"/>
        <v>-8234.8686814296798</v>
      </c>
    </row>
    <row r="7" spans="1:10" ht="18" x14ac:dyDescent="0.2">
      <c r="A7" s="11">
        <v>25</v>
      </c>
      <c r="B7" s="10">
        <v>-8623.9486814296797</v>
      </c>
      <c r="C7" s="10">
        <v>-8547.53201476301</v>
      </c>
      <c r="D7" s="11">
        <v>5</v>
      </c>
      <c r="E7" s="10">
        <v>-10513.653014763</v>
      </c>
      <c r="F7" s="10">
        <v>-10518.999681429599</v>
      </c>
      <c r="H7" s="10">
        <f t="shared" si="0"/>
        <v>-50</v>
      </c>
      <c r="I7" s="14">
        <f t="shared" si="1"/>
        <v>-10513.653014763</v>
      </c>
      <c r="J7" s="14">
        <f t="shared" si="2"/>
        <v>-8623.9486814296797</v>
      </c>
    </row>
    <row r="8" spans="1:10" ht="18" x14ac:dyDescent="0.2">
      <c r="A8" s="11">
        <v>30</v>
      </c>
      <c r="B8" s="10">
        <v>-8913.9994851417105</v>
      </c>
      <c r="C8" s="10">
        <v>-8865.52301476301</v>
      </c>
      <c r="D8" s="11">
        <v>6</v>
      </c>
      <c r="E8" s="10">
        <v>-10954.871014763001</v>
      </c>
      <c r="F8" s="12">
        <v>-10956.7626814296</v>
      </c>
      <c r="H8" s="10">
        <f t="shared" si="0"/>
        <v>-40</v>
      </c>
      <c r="I8" s="14">
        <f t="shared" si="1"/>
        <v>-10954.871014763001</v>
      </c>
      <c r="J8" s="14">
        <f t="shared" si="2"/>
        <v>-8913.9994851417105</v>
      </c>
    </row>
    <row r="9" spans="1:10" ht="18" x14ac:dyDescent="0.2">
      <c r="A9" s="11">
        <v>35</v>
      </c>
      <c r="B9" s="10">
        <v>-9087.3530824420504</v>
      </c>
      <c r="C9" s="10">
        <v>-9089.2625147630097</v>
      </c>
      <c r="D9" s="11">
        <v>7</v>
      </c>
      <c r="E9" s="10">
        <v>-11327.885014763</v>
      </c>
      <c r="F9" s="10">
        <v>-11341.223681429599</v>
      </c>
      <c r="H9" s="10">
        <f t="shared" si="0"/>
        <v>-30</v>
      </c>
      <c r="I9" s="14">
        <f t="shared" si="1"/>
        <v>-11327.885014763</v>
      </c>
      <c r="J9" s="14">
        <f t="shared" si="2"/>
        <v>-9087.3530824420504</v>
      </c>
    </row>
    <row r="10" spans="1:10" ht="18" x14ac:dyDescent="0.2">
      <c r="A10" s="11">
        <v>40</v>
      </c>
      <c r="B10" s="10">
        <v>-9121.1030841293395</v>
      </c>
      <c r="C10" s="10">
        <v>-9144.8620147630099</v>
      </c>
      <c r="D10" s="11">
        <v>8</v>
      </c>
      <c r="E10" s="10">
        <v>-11681.364014762999</v>
      </c>
      <c r="F10" s="10">
        <v>-11694.697681429599</v>
      </c>
      <c r="H10" s="10">
        <f t="shared" si="0"/>
        <v>-20</v>
      </c>
      <c r="I10" s="14">
        <f t="shared" si="1"/>
        <v>-11681.364014762999</v>
      </c>
      <c r="J10" s="14">
        <f t="shared" si="2"/>
        <v>-9121.1030841293395</v>
      </c>
    </row>
    <row r="11" spans="1:10" ht="18" x14ac:dyDescent="0.2">
      <c r="A11" s="11">
        <v>45</v>
      </c>
      <c r="B11" s="10">
        <v>-9145.3350841293395</v>
      </c>
      <c r="C11" s="10">
        <v>-9169.0940147630099</v>
      </c>
      <c r="D11" s="11">
        <v>9</v>
      </c>
      <c r="E11" s="10">
        <v>-12030.104014762999</v>
      </c>
      <c r="F11" s="10">
        <v>-12043.6176814296</v>
      </c>
      <c r="H11" s="10">
        <f t="shared" si="0"/>
        <v>-10</v>
      </c>
      <c r="I11" s="14">
        <f t="shared" si="1"/>
        <v>-12030.104014762999</v>
      </c>
      <c r="J11" s="14">
        <f t="shared" si="2"/>
        <v>-9145.3350841293395</v>
      </c>
    </row>
    <row r="12" spans="1:10" ht="18" x14ac:dyDescent="0.2">
      <c r="A12" s="11">
        <v>50</v>
      </c>
      <c r="B12" s="10">
        <v>-9166.2780841293406</v>
      </c>
      <c r="C12" s="10">
        <v>-9190.0370147630092</v>
      </c>
      <c r="D12" s="11">
        <v>10</v>
      </c>
      <c r="E12" s="10">
        <v>-12330.330014763</v>
      </c>
      <c r="F12" s="10">
        <v>-12354.4426814296</v>
      </c>
      <c r="H12" s="10">
        <f t="shared" si="0"/>
        <v>0</v>
      </c>
      <c r="I12" s="14">
        <f t="shared" si="1"/>
        <v>-12330.330014763</v>
      </c>
      <c r="J12" s="14">
        <f t="shared" si="2"/>
        <v>-9166.2780841293406</v>
      </c>
    </row>
    <row r="13" spans="1:10" ht="18" x14ac:dyDescent="0.2">
      <c r="A13" s="11">
        <v>55</v>
      </c>
      <c r="B13" s="10">
        <v>-9183.7870841293407</v>
      </c>
      <c r="C13" s="10">
        <v>-9207.5460147630092</v>
      </c>
      <c r="D13" s="11">
        <v>11</v>
      </c>
      <c r="E13" s="10">
        <v>-12438.215014763</v>
      </c>
      <c r="F13" s="10">
        <v>-12487.580681429599</v>
      </c>
      <c r="H13" s="10">
        <f t="shared" si="0"/>
        <v>10</v>
      </c>
      <c r="I13" s="14">
        <f t="shared" si="1"/>
        <v>-12438.215014763</v>
      </c>
      <c r="J13" s="14">
        <f t="shared" si="2"/>
        <v>-9183.7870841293407</v>
      </c>
    </row>
    <row r="14" spans="1:10" ht="18" x14ac:dyDescent="0.2">
      <c r="A14" s="11">
        <v>60</v>
      </c>
      <c r="B14" s="10">
        <v>-9199.5140841293396</v>
      </c>
      <c r="C14" s="10">
        <v>-9223.27301476301</v>
      </c>
      <c r="D14" s="11">
        <v>12</v>
      </c>
      <c r="E14" s="10">
        <v>-12484.981014763</v>
      </c>
      <c r="F14" s="10">
        <v>-12534.8326814296</v>
      </c>
      <c r="H14" s="10">
        <f t="shared" si="0"/>
        <v>20</v>
      </c>
      <c r="I14" s="14">
        <f t="shared" si="1"/>
        <v>-12484.981014763</v>
      </c>
      <c r="J14" s="14">
        <f t="shared" si="2"/>
        <v>-9199.5140841293396</v>
      </c>
    </row>
    <row r="15" spans="1:10" ht="18" x14ac:dyDescent="0.2">
      <c r="A15" s="11">
        <v>65</v>
      </c>
      <c r="B15" s="10">
        <v>-9214.6880841293405</v>
      </c>
      <c r="C15" s="10">
        <v>-9238.4470147630109</v>
      </c>
      <c r="D15" s="11">
        <v>13</v>
      </c>
      <c r="E15" s="10">
        <v>-12522.343014763001</v>
      </c>
      <c r="F15" s="10">
        <v>-12571.292681429601</v>
      </c>
      <c r="H15" s="10">
        <f t="shared" si="0"/>
        <v>30</v>
      </c>
      <c r="I15" s="14">
        <f t="shared" si="1"/>
        <v>-12522.343014763001</v>
      </c>
      <c r="J15" s="14">
        <f t="shared" si="2"/>
        <v>-9214.6880841293405</v>
      </c>
    </row>
    <row r="16" spans="1:10" ht="18" x14ac:dyDescent="0.2">
      <c r="A16" s="11">
        <v>70</v>
      </c>
      <c r="B16" s="10">
        <v>-9228.2180841293393</v>
      </c>
      <c r="C16" s="10">
        <v>-9251.9770147630097</v>
      </c>
      <c r="D16" s="11">
        <v>14</v>
      </c>
      <c r="E16" s="10">
        <v>-12557.432014763001</v>
      </c>
      <c r="F16" s="10">
        <v>-12606.381681429601</v>
      </c>
      <c r="H16" s="10">
        <f t="shared" si="0"/>
        <v>40</v>
      </c>
      <c r="I16" s="14">
        <f t="shared" si="1"/>
        <v>-12557.432014763001</v>
      </c>
      <c r="J16" s="14">
        <f t="shared" si="2"/>
        <v>-9228.2180841293393</v>
      </c>
    </row>
    <row r="17" spans="1:13" ht="18" x14ac:dyDescent="0.2">
      <c r="A17" s="11">
        <v>75</v>
      </c>
      <c r="B17" s="10">
        <v>-9230.2180841293393</v>
      </c>
      <c r="C17" s="10">
        <v>-9253.9770147630097</v>
      </c>
      <c r="D17" s="11">
        <v>15</v>
      </c>
      <c r="E17" s="10">
        <v>-12589.832014763</v>
      </c>
      <c r="F17" s="10">
        <v>-12638.7916814296</v>
      </c>
      <c r="H17" s="10">
        <f t="shared" si="0"/>
        <v>50</v>
      </c>
      <c r="I17" s="14">
        <f t="shared" si="1"/>
        <v>-12589.832014763</v>
      </c>
      <c r="J17" s="14">
        <f t="shared" si="2"/>
        <v>-9230.2180841293393</v>
      </c>
    </row>
    <row r="18" spans="1:13" ht="18" x14ac:dyDescent="0.2">
      <c r="A18" s="11">
        <v>80</v>
      </c>
      <c r="B18" s="10">
        <v>-9230.2180841293393</v>
      </c>
      <c r="C18" s="10">
        <v>-9253.9770147630097</v>
      </c>
      <c r="D18" s="11">
        <v>16</v>
      </c>
      <c r="E18" s="10">
        <v>-12615.316014763001</v>
      </c>
      <c r="F18" s="10">
        <v>-12665.4166814296</v>
      </c>
      <c r="H18" s="10">
        <f t="shared" si="0"/>
        <v>60</v>
      </c>
      <c r="I18" s="14">
        <f t="shared" si="1"/>
        <v>-12615.316014763001</v>
      </c>
      <c r="J18" s="14">
        <f t="shared" si="2"/>
        <v>-9230.2180841293393</v>
      </c>
    </row>
    <row r="19" spans="1:13" ht="18" x14ac:dyDescent="0.2">
      <c r="A19" s="11">
        <v>85</v>
      </c>
      <c r="B19" s="10">
        <v>-9230.2180841293393</v>
      </c>
      <c r="C19" s="10">
        <v>-9253.9770147630097</v>
      </c>
      <c r="D19" s="11">
        <v>17</v>
      </c>
      <c r="E19" s="10">
        <v>-12627.101014763</v>
      </c>
      <c r="F19" s="10">
        <v>-12679.8946814296</v>
      </c>
      <c r="H19" s="10">
        <f t="shared" si="0"/>
        <v>70</v>
      </c>
      <c r="I19" s="14">
        <f t="shared" si="1"/>
        <v>-12627.101014763</v>
      </c>
      <c r="J19" s="14">
        <f t="shared" si="2"/>
        <v>-9230.2180841293393</v>
      </c>
    </row>
    <row r="20" spans="1:13" ht="18" x14ac:dyDescent="0.2">
      <c r="A20" s="11">
        <v>90</v>
      </c>
      <c r="B20" s="10">
        <v>-9230.2180841293393</v>
      </c>
      <c r="C20" s="10">
        <v>-9253.9770147630097</v>
      </c>
      <c r="D20" s="11">
        <v>18</v>
      </c>
      <c r="E20" s="10">
        <v>-12633.929014763</v>
      </c>
      <c r="F20" s="10">
        <v>-12686.8896814296</v>
      </c>
      <c r="H20" s="10">
        <f t="shared" si="0"/>
        <v>80</v>
      </c>
      <c r="I20" s="14">
        <f t="shared" si="1"/>
        <v>-12633.929014763</v>
      </c>
      <c r="J20" s="14">
        <f t="shared" si="2"/>
        <v>-9230.2180841293393</v>
      </c>
    </row>
    <row r="21" spans="1:13" ht="18" x14ac:dyDescent="0.2">
      <c r="A21" s="11">
        <v>95</v>
      </c>
      <c r="B21" s="10">
        <v>-9230.2180841293393</v>
      </c>
      <c r="C21" s="10">
        <v>-9253.9770147630097</v>
      </c>
      <c r="D21" s="11">
        <v>19</v>
      </c>
      <c r="E21" s="10">
        <v>-12637.275014762999</v>
      </c>
      <c r="F21" s="10">
        <v>-12690.2356814296</v>
      </c>
      <c r="H21" s="10">
        <f t="shared" si="0"/>
        <v>90</v>
      </c>
      <c r="I21" s="14">
        <f t="shared" si="1"/>
        <v>-12637.275014762999</v>
      </c>
      <c r="J21" s="14">
        <f t="shared" si="2"/>
        <v>-9230.2180841293393</v>
      </c>
    </row>
    <row r="22" spans="1:13" ht="18" x14ac:dyDescent="0.2">
      <c r="A22" s="11">
        <v>100</v>
      </c>
      <c r="B22" s="10">
        <v>-9230.2180841293393</v>
      </c>
      <c r="C22" s="10">
        <v>-9253.9770147630097</v>
      </c>
      <c r="D22" s="11">
        <v>20</v>
      </c>
      <c r="E22" s="10">
        <v>-12640.229014762999</v>
      </c>
      <c r="F22" s="10">
        <v>-12693.1896814296</v>
      </c>
      <c r="H22" s="10">
        <f t="shared" si="0"/>
        <v>100</v>
      </c>
      <c r="I22" s="14">
        <f t="shared" si="1"/>
        <v>-12640.229014762999</v>
      </c>
      <c r="J22" s="14">
        <f t="shared" si="2"/>
        <v>-9230.2180841293393</v>
      </c>
    </row>
    <row r="23" spans="1:13" ht="18" x14ac:dyDescent="0.2">
      <c r="A23" s="11" t="s">
        <v>57</v>
      </c>
      <c r="B23" s="12">
        <f>STDEV(B2:B22)</f>
        <v>1124.9569254624073</v>
      </c>
      <c r="C23" s="12">
        <f>STDEV(C2:C22)</f>
        <v>1162.1730431796509</v>
      </c>
      <c r="D23" s="11" t="s">
        <v>57</v>
      </c>
      <c r="E23" s="12">
        <f>STDEV(E2:E22)</f>
        <v>2104.7171246472067</v>
      </c>
      <c r="F23" s="11">
        <f>STDEV(F2:F22)</f>
        <v>2126.9185667279571</v>
      </c>
      <c r="G23" s="3"/>
    </row>
    <row r="24" spans="1:13" ht="18" x14ac:dyDescent="0.2">
      <c r="A24" s="11" t="s">
        <v>58</v>
      </c>
      <c r="B24" s="12">
        <f>ABS(MAX(B2:B22)-MIN(B2:B22))</f>
        <v>3873.3084026996594</v>
      </c>
      <c r="C24" s="12">
        <f>ABS(MAX(C2:C22)-MIN(C2:C22))</f>
        <v>3973.4839999999995</v>
      </c>
      <c r="D24" s="11" t="s">
        <v>58</v>
      </c>
      <c r="E24" s="12">
        <f>ABS(MAX(E2:E22)-MIN(E2:E22))</f>
        <v>7296.3859999999895</v>
      </c>
      <c r="F24" s="11">
        <f>ABS(MAX(F2:F22)-MIN(F2:F22))</f>
        <v>7362.4799999999195</v>
      </c>
    </row>
    <row r="25" spans="1:13" ht="18" x14ac:dyDescent="0.2">
      <c r="A25" s="11" t="s">
        <v>59</v>
      </c>
      <c r="B25" s="12">
        <f>MIN(B2:B22)</f>
        <v>-9230.2180841293393</v>
      </c>
      <c r="C25" s="12">
        <f t="shared" ref="C25:F25" si="3">MIN(C2:C22)</f>
        <v>-9253.9770147630097</v>
      </c>
      <c r="D25" s="11" t="s">
        <v>59</v>
      </c>
      <c r="E25" s="12">
        <f t="shared" si="3"/>
        <v>-12640.229014762999</v>
      </c>
      <c r="F25" s="11">
        <f t="shared" si="3"/>
        <v>-12693.1896814296</v>
      </c>
    </row>
    <row r="26" spans="1:13" ht="18" x14ac:dyDescent="0.2">
      <c r="A26" s="11" t="s">
        <v>60</v>
      </c>
      <c r="B26" s="12">
        <f>MAX(B2:B22)</f>
        <v>-5356.9096814296799</v>
      </c>
      <c r="C26" s="12">
        <f t="shared" ref="C26:F26" si="4">MAX(C2:C22)</f>
        <v>-5280.4930147630103</v>
      </c>
      <c r="D26" s="11" t="s">
        <v>60</v>
      </c>
      <c r="E26" s="12">
        <f t="shared" si="4"/>
        <v>-5343.8430147630097</v>
      </c>
      <c r="F26" s="11">
        <f t="shared" si="4"/>
        <v>-5330.7096814296801</v>
      </c>
    </row>
    <row r="28" spans="1:13" x14ac:dyDescent="0.2">
      <c r="G28" s="1"/>
      <c r="H28" s="47" t="s">
        <v>77</v>
      </c>
      <c r="I28" s="47"/>
      <c r="J28" s="47"/>
      <c r="K28" s="47" t="s">
        <v>78</v>
      </c>
      <c r="L28" s="47"/>
      <c r="M28" s="47"/>
    </row>
    <row r="29" spans="1:13" x14ac:dyDescent="0.2">
      <c r="G29" s="1"/>
      <c r="H29" s="1" t="s">
        <v>26</v>
      </c>
      <c r="I29" s="1" t="s">
        <v>27</v>
      </c>
      <c r="J29" s="1" t="s">
        <v>76</v>
      </c>
      <c r="K29" s="1" t="s">
        <v>26</v>
      </c>
      <c r="L29" s="1" t="s">
        <v>27</v>
      </c>
      <c r="M29" s="1" t="s">
        <v>76</v>
      </c>
    </row>
    <row r="30" spans="1:13" x14ac:dyDescent="0.2">
      <c r="G30" s="1" t="s">
        <v>74</v>
      </c>
      <c r="H30" s="32">
        <f>B25</f>
        <v>-9230.2180841293393</v>
      </c>
      <c r="I30" s="32">
        <f>B26</f>
        <v>-5356.9096814296799</v>
      </c>
      <c r="J30" s="32">
        <f>B23</f>
        <v>1124.9569254624073</v>
      </c>
      <c r="K30" s="32">
        <f>C25</f>
        <v>-9253.9770147630097</v>
      </c>
      <c r="L30" s="32">
        <f>C26</f>
        <v>-5280.4930147630103</v>
      </c>
      <c r="M30" s="32">
        <f>C23</f>
        <v>1162.1730431796509</v>
      </c>
    </row>
    <row r="31" spans="1:13" x14ac:dyDescent="0.2">
      <c r="G31" s="1" t="s">
        <v>75</v>
      </c>
      <c r="H31" s="32">
        <f>E25</f>
        <v>-12640.229014762999</v>
      </c>
      <c r="I31" s="32">
        <f>E26</f>
        <v>-5343.8430147630097</v>
      </c>
      <c r="J31" s="32">
        <f>E23</f>
        <v>2104.7171246472067</v>
      </c>
      <c r="K31" s="1">
        <f>F25</f>
        <v>-12693.1896814296</v>
      </c>
      <c r="L31" s="1">
        <f>F26</f>
        <v>-5330.7096814296801</v>
      </c>
      <c r="M31" s="1">
        <f>F23</f>
        <v>2126.9185667279571</v>
      </c>
    </row>
  </sheetData>
  <mergeCells count="2">
    <mergeCell ref="H28:J28"/>
    <mergeCell ref="K28:M28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800C-1700-C448-94DC-31CFFB67A80B}">
  <dimension ref="A1:S23"/>
  <sheetViews>
    <sheetView workbookViewId="0">
      <selection activeCell="A3" sqref="A3:S17"/>
    </sheetView>
  </sheetViews>
  <sheetFormatPr baseColWidth="10" defaultRowHeight="16" x14ac:dyDescent="0.2"/>
  <cols>
    <col min="1" max="1" width="4.83203125" bestFit="1" customWidth="1"/>
    <col min="2" max="4" width="3.5" bestFit="1" customWidth="1"/>
    <col min="5" max="5" width="4.6640625" bestFit="1" customWidth="1"/>
    <col min="6" max="6" width="8.1640625" bestFit="1" customWidth="1"/>
    <col min="7" max="7" width="9.1640625" bestFit="1" customWidth="1"/>
    <col min="8" max="13" width="11" bestFit="1" customWidth="1"/>
    <col min="14" max="14" width="17.1640625" bestFit="1" customWidth="1"/>
    <col min="15" max="15" width="20.33203125" bestFit="1" customWidth="1"/>
    <col min="16" max="16" width="10.83203125" bestFit="1" customWidth="1"/>
    <col min="17" max="17" width="17.1640625" bestFit="1" customWidth="1"/>
    <col min="18" max="18" width="20.33203125" bestFit="1" customWidth="1"/>
  </cols>
  <sheetData>
    <row r="1" spans="1:19" ht="18" x14ac:dyDescent="0.2">
      <c r="A1" s="15"/>
      <c r="B1" s="16"/>
      <c r="C1" s="16"/>
      <c r="D1" s="16"/>
      <c r="E1" s="16"/>
      <c r="F1" s="26"/>
      <c r="G1" s="48" t="s">
        <v>61</v>
      </c>
      <c r="H1" s="49"/>
      <c r="I1" s="50"/>
      <c r="J1" s="48" t="s">
        <v>62</v>
      </c>
      <c r="K1" s="49"/>
      <c r="L1" s="50"/>
      <c r="M1" s="51" t="s">
        <v>70</v>
      </c>
      <c r="N1" s="48" t="s">
        <v>81</v>
      </c>
      <c r="O1" s="49"/>
      <c r="P1" s="50"/>
      <c r="Q1" s="48" t="s">
        <v>82</v>
      </c>
      <c r="R1" s="49"/>
      <c r="S1" s="50"/>
    </row>
    <row r="2" spans="1:19" ht="18" x14ac:dyDescent="0.2">
      <c r="A2" s="17" t="s">
        <v>63</v>
      </c>
      <c r="B2" s="11" t="s">
        <v>64</v>
      </c>
      <c r="C2" s="11" t="s">
        <v>65</v>
      </c>
      <c r="D2" s="11" t="s">
        <v>66</v>
      </c>
      <c r="E2" s="11" t="s">
        <v>67</v>
      </c>
      <c r="F2" s="18" t="s">
        <v>68</v>
      </c>
      <c r="G2" s="17" t="s">
        <v>69</v>
      </c>
      <c r="H2" s="11" t="s">
        <v>71</v>
      </c>
      <c r="I2" s="18" t="s">
        <v>52</v>
      </c>
      <c r="J2" s="17" t="s">
        <v>69</v>
      </c>
      <c r="K2" s="11" t="s">
        <v>71</v>
      </c>
      <c r="L2" s="18" t="s">
        <v>52</v>
      </c>
      <c r="M2" s="52"/>
      <c r="N2" s="17" t="s">
        <v>79</v>
      </c>
      <c r="O2" s="11" t="s">
        <v>80</v>
      </c>
      <c r="P2" s="18" t="s">
        <v>83</v>
      </c>
      <c r="Q2" s="17" t="s">
        <v>79</v>
      </c>
      <c r="R2" s="11" t="s">
        <v>80</v>
      </c>
      <c r="S2" s="18" t="s">
        <v>83</v>
      </c>
    </row>
    <row r="3" spans="1:19" ht="18" x14ac:dyDescent="0.2">
      <c r="A3" s="34" cm="1">
        <f t="array" ref="A3:A17">_xlfn.SEQUENCE(15)</f>
        <v>1</v>
      </c>
      <c r="B3" s="11">
        <v>3</v>
      </c>
      <c r="C3" s="11">
        <v>15</v>
      </c>
      <c r="D3" s="11">
        <v>5</v>
      </c>
      <c r="E3" s="11">
        <v>30</v>
      </c>
      <c r="F3" s="18">
        <v>10</v>
      </c>
      <c r="G3" s="17">
        <v>6</v>
      </c>
      <c r="H3" s="33">
        <v>0</v>
      </c>
      <c r="I3" s="20">
        <v>12.2749230861663</v>
      </c>
      <c r="J3" s="17">
        <v>9</v>
      </c>
      <c r="K3" s="33">
        <v>0</v>
      </c>
      <c r="L3" s="19">
        <v>29.000555992126401</v>
      </c>
      <c r="M3" s="37">
        <v>-8278.7776764504397</v>
      </c>
      <c r="N3" s="36">
        <v>15</v>
      </c>
      <c r="O3" s="13">
        <v>2927</v>
      </c>
      <c r="P3" s="41">
        <v>611</v>
      </c>
      <c r="Q3" s="36">
        <v>2520</v>
      </c>
      <c r="R3" s="13">
        <v>4500</v>
      </c>
      <c r="S3" s="41">
        <v>15090</v>
      </c>
    </row>
    <row r="4" spans="1:19" ht="18" x14ac:dyDescent="0.2">
      <c r="A4" s="17">
        <v>2</v>
      </c>
      <c r="B4" s="11">
        <v>3</v>
      </c>
      <c r="C4" s="11">
        <v>15</v>
      </c>
      <c r="D4" s="11">
        <v>5</v>
      </c>
      <c r="E4" s="11">
        <v>30</v>
      </c>
      <c r="F4" s="18">
        <v>20</v>
      </c>
      <c r="G4" s="17">
        <v>7</v>
      </c>
      <c r="H4" s="33">
        <v>0</v>
      </c>
      <c r="I4" s="20">
        <v>31.368746042251502</v>
      </c>
      <c r="J4" s="17">
        <v>8</v>
      </c>
      <c r="K4" s="33">
        <v>0</v>
      </c>
      <c r="L4" s="19">
        <v>47.071585178375202</v>
      </c>
      <c r="M4" s="37">
        <v>-8231.6171979856699</v>
      </c>
      <c r="N4" s="36">
        <v>15</v>
      </c>
      <c r="O4" s="13">
        <v>2946</v>
      </c>
      <c r="P4" s="41">
        <v>621</v>
      </c>
      <c r="Q4" s="36">
        <v>2520</v>
      </c>
      <c r="R4" s="13">
        <v>4500</v>
      </c>
      <c r="S4" s="41">
        <v>15090</v>
      </c>
    </row>
    <row r="5" spans="1:19" ht="18" x14ac:dyDescent="0.2">
      <c r="A5" s="17">
        <v>3</v>
      </c>
      <c r="B5" s="11">
        <v>3</v>
      </c>
      <c r="C5" s="11">
        <v>15</v>
      </c>
      <c r="D5" s="11">
        <v>5</v>
      </c>
      <c r="E5" s="11">
        <v>30</v>
      </c>
      <c r="F5" s="18">
        <v>30</v>
      </c>
      <c r="G5" s="17">
        <v>11</v>
      </c>
      <c r="H5" s="33">
        <v>0</v>
      </c>
      <c r="I5" s="20">
        <v>79.993409156799302</v>
      </c>
      <c r="J5" s="17">
        <v>9</v>
      </c>
      <c r="K5" s="33">
        <v>0</v>
      </c>
      <c r="L5" s="19">
        <v>86.906220197677598</v>
      </c>
      <c r="M5" s="37">
        <v>-8145.9093843475202</v>
      </c>
      <c r="N5" s="36">
        <v>15</v>
      </c>
      <c r="O5" s="13">
        <v>2956</v>
      </c>
      <c r="P5" s="41">
        <v>631</v>
      </c>
      <c r="Q5" s="36">
        <v>2520</v>
      </c>
      <c r="R5" s="13">
        <v>4500</v>
      </c>
      <c r="S5" s="41">
        <v>15090</v>
      </c>
    </row>
    <row r="6" spans="1:19" ht="18" x14ac:dyDescent="0.2">
      <c r="A6" s="17">
        <v>4</v>
      </c>
      <c r="B6" s="11">
        <v>3</v>
      </c>
      <c r="C6" s="11">
        <v>15</v>
      </c>
      <c r="D6" s="11">
        <v>5</v>
      </c>
      <c r="E6" s="11">
        <v>30</v>
      </c>
      <c r="F6" s="18">
        <v>40</v>
      </c>
      <c r="G6" s="17">
        <v>13</v>
      </c>
      <c r="H6" s="33">
        <v>0</v>
      </c>
      <c r="I6" s="20">
        <v>132.70442605018599</v>
      </c>
      <c r="J6" s="17">
        <v>9</v>
      </c>
      <c r="K6" s="33">
        <v>0</v>
      </c>
      <c r="L6" s="19">
        <v>117.426259994506</v>
      </c>
      <c r="M6" s="37">
        <v>-8162.05013713074</v>
      </c>
      <c r="N6" s="36">
        <v>15</v>
      </c>
      <c r="O6" s="13">
        <v>2966</v>
      </c>
      <c r="P6" s="41">
        <v>641</v>
      </c>
      <c r="Q6" s="36">
        <v>2520</v>
      </c>
      <c r="R6" s="13">
        <v>4500</v>
      </c>
      <c r="S6" s="41">
        <v>15090</v>
      </c>
    </row>
    <row r="7" spans="1:19" ht="18" x14ac:dyDescent="0.2">
      <c r="A7" s="17">
        <v>5</v>
      </c>
      <c r="B7" s="11">
        <v>3</v>
      </c>
      <c r="C7" s="11">
        <v>15</v>
      </c>
      <c r="D7" s="11">
        <v>5</v>
      </c>
      <c r="E7" s="11">
        <v>60</v>
      </c>
      <c r="F7" s="18">
        <v>10</v>
      </c>
      <c r="G7" s="17">
        <v>2</v>
      </c>
      <c r="H7" s="33">
        <v>0</v>
      </c>
      <c r="I7" s="20">
        <v>6.8038089275360099</v>
      </c>
      <c r="J7" s="17">
        <v>5</v>
      </c>
      <c r="K7" s="33">
        <v>0</v>
      </c>
      <c r="L7" s="19">
        <v>16.735275030136101</v>
      </c>
      <c r="M7" s="37">
        <v>-11132.669015984</v>
      </c>
      <c r="N7" s="36">
        <v>15</v>
      </c>
      <c r="O7" s="13">
        <v>2936</v>
      </c>
      <c r="P7" s="41">
        <v>611</v>
      </c>
      <c r="Q7" s="36">
        <v>4680</v>
      </c>
      <c r="R7" s="13">
        <v>7740</v>
      </c>
      <c r="S7" s="41">
        <v>28050</v>
      </c>
    </row>
    <row r="8" spans="1:19" ht="18" x14ac:dyDescent="0.2">
      <c r="A8" s="17">
        <v>6</v>
      </c>
      <c r="B8" s="11">
        <v>3</v>
      </c>
      <c r="C8" s="11">
        <v>15</v>
      </c>
      <c r="D8" s="11">
        <v>5</v>
      </c>
      <c r="E8" s="11">
        <v>90</v>
      </c>
      <c r="F8" s="18">
        <v>10</v>
      </c>
      <c r="G8" s="17">
        <v>4</v>
      </c>
      <c r="H8" s="33">
        <v>0</v>
      </c>
      <c r="I8" s="20">
        <v>22.073467731475802</v>
      </c>
      <c r="J8" s="17">
        <v>8</v>
      </c>
      <c r="K8" s="33">
        <v>0</v>
      </c>
      <c r="L8" s="19">
        <v>126.12378501892</v>
      </c>
      <c r="M8" s="37">
        <v>-15415.1977348663</v>
      </c>
      <c r="N8" s="36">
        <v>15</v>
      </c>
      <c r="O8" s="13">
        <v>2936</v>
      </c>
      <c r="P8" s="41">
        <v>611</v>
      </c>
      <c r="Q8" s="36">
        <v>6840</v>
      </c>
      <c r="R8" s="13">
        <v>10980</v>
      </c>
      <c r="S8" s="41">
        <v>41010</v>
      </c>
    </row>
    <row r="9" spans="1:19" ht="18" x14ac:dyDescent="0.2">
      <c r="A9" s="17">
        <v>7</v>
      </c>
      <c r="B9" s="11">
        <v>3</v>
      </c>
      <c r="C9" s="11">
        <v>15</v>
      </c>
      <c r="D9" s="11">
        <v>5</v>
      </c>
      <c r="E9" s="11">
        <v>120</v>
      </c>
      <c r="F9" s="18">
        <v>10</v>
      </c>
      <c r="G9" s="17">
        <v>3</v>
      </c>
      <c r="H9" s="33">
        <v>0</v>
      </c>
      <c r="I9" s="19">
        <v>21.450427055358801</v>
      </c>
      <c r="J9" s="17">
        <v>9</v>
      </c>
      <c r="K9" s="33">
        <v>0</v>
      </c>
      <c r="L9" s="19">
        <v>95.593261003494206</v>
      </c>
      <c r="M9" s="37">
        <v>-13096.905393295599</v>
      </c>
      <c r="N9" s="36">
        <v>15</v>
      </c>
      <c r="O9" s="13">
        <v>2936</v>
      </c>
      <c r="P9" s="41">
        <v>611</v>
      </c>
      <c r="Q9" s="36">
        <v>9000</v>
      </c>
      <c r="R9" s="13">
        <v>14220</v>
      </c>
      <c r="S9" s="41">
        <v>53970</v>
      </c>
    </row>
    <row r="10" spans="1:19" ht="18" x14ac:dyDescent="0.2">
      <c r="A10" s="17">
        <v>8</v>
      </c>
      <c r="B10" s="11">
        <v>3</v>
      </c>
      <c r="C10" s="11">
        <v>15</v>
      </c>
      <c r="D10" s="11">
        <v>7</v>
      </c>
      <c r="E10" s="11">
        <v>30</v>
      </c>
      <c r="F10" s="18">
        <v>10</v>
      </c>
      <c r="G10" s="17">
        <v>207</v>
      </c>
      <c r="H10" s="33">
        <v>0</v>
      </c>
      <c r="I10" s="19">
        <v>3495.0307309627501</v>
      </c>
      <c r="J10" s="17">
        <v>25</v>
      </c>
      <c r="K10" s="33">
        <v>0</v>
      </c>
      <c r="L10" s="19">
        <v>91.326506853103595</v>
      </c>
      <c r="M10" s="17">
        <v>-12645.9329464863</v>
      </c>
      <c r="N10" s="36">
        <v>15</v>
      </c>
      <c r="O10" s="13">
        <v>3026</v>
      </c>
      <c r="P10" s="41">
        <v>707</v>
      </c>
      <c r="Q10" s="36">
        <v>2664</v>
      </c>
      <c r="R10" s="13">
        <v>5004</v>
      </c>
      <c r="S10" s="41">
        <v>18102</v>
      </c>
    </row>
    <row r="11" spans="1:19" ht="18" x14ac:dyDescent="0.2">
      <c r="A11" s="17">
        <v>9</v>
      </c>
      <c r="B11" s="11">
        <v>3</v>
      </c>
      <c r="C11" s="11">
        <v>15</v>
      </c>
      <c r="D11" s="11">
        <v>10</v>
      </c>
      <c r="E11" s="11">
        <v>30</v>
      </c>
      <c r="F11" s="18">
        <v>10</v>
      </c>
      <c r="G11" s="17">
        <v>166</v>
      </c>
      <c r="H11" s="33">
        <v>0.04</v>
      </c>
      <c r="I11" s="20">
        <v>3850.6552588939599</v>
      </c>
      <c r="J11" s="17">
        <v>57</v>
      </c>
      <c r="K11" s="33">
        <v>0</v>
      </c>
      <c r="L11" s="19">
        <v>359.77759599685601</v>
      </c>
      <c r="M11" s="37">
        <v>-10972.4053865364</v>
      </c>
      <c r="N11" s="36">
        <v>15</v>
      </c>
      <c r="O11" s="13">
        <v>3161</v>
      </c>
      <c r="P11" s="41">
        <v>851</v>
      </c>
      <c r="Q11" s="36">
        <v>2880</v>
      </c>
      <c r="R11" s="13">
        <v>5760</v>
      </c>
      <c r="S11" s="41">
        <v>22620</v>
      </c>
    </row>
    <row r="12" spans="1:19" ht="18" x14ac:dyDescent="0.2">
      <c r="A12" s="17">
        <v>10</v>
      </c>
      <c r="B12" s="11">
        <v>3</v>
      </c>
      <c r="C12" s="11">
        <v>30</v>
      </c>
      <c r="D12" s="11">
        <v>5</v>
      </c>
      <c r="E12" s="11">
        <v>30</v>
      </c>
      <c r="F12" s="18">
        <v>10</v>
      </c>
      <c r="G12" s="17">
        <v>2</v>
      </c>
      <c r="H12" s="33">
        <v>0</v>
      </c>
      <c r="I12" s="19">
        <v>5.1257870197296098</v>
      </c>
      <c r="J12" s="17">
        <v>6</v>
      </c>
      <c r="K12" s="33">
        <v>0</v>
      </c>
      <c r="L12" s="20">
        <v>15.1048438549041</v>
      </c>
      <c r="M12" s="38">
        <v>-8844.3403974511693</v>
      </c>
      <c r="N12" s="36">
        <v>30</v>
      </c>
      <c r="O12" s="13">
        <v>5861</v>
      </c>
      <c r="P12" s="41">
        <v>1646</v>
      </c>
      <c r="Q12" s="36">
        <v>2520</v>
      </c>
      <c r="R12" s="13">
        <v>4500</v>
      </c>
      <c r="S12" s="41">
        <v>15090</v>
      </c>
    </row>
    <row r="13" spans="1:19" ht="18" x14ac:dyDescent="0.2">
      <c r="A13" s="17">
        <v>11</v>
      </c>
      <c r="B13" s="11">
        <v>3</v>
      </c>
      <c r="C13" s="11">
        <v>45</v>
      </c>
      <c r="D13" s="11">
        <v>5</v>
      </c>
      <c r="E13" s="11">
        <v>30</v>
      </c>
      <c r="F13" s="18">
        <v>10</v>
      </c>
      <c r="G13" s="17">
        <v>2</v>
      </c>
      <c r="H13" s="33">
        <v>0</v>
      </c>
      <c r="I13" s="19">
        <v>4.1427078247070304</v>
      </c>
      <c r="J13" s="17">
        <v>8</v>
      </c>
      <c r="K13" s="33">
        <v>0</v>
      </c>
      <c r="L13" s="20">
        <v>25.511097669601401</v>
      </c>
      <c r="M13" s="38">
        <v>-8614.2313799671501</v>
      </c>
      <c r="N13" s="36">
        <v>45</v>
      </c>
      <c r="O13" s="13">
        <v>8786</v>
      </c>
      <c r="P13" s="41">
        <v>3131</v>
      </c>
      <c r="Q13" s="36">
        <v>2520</v>
      </c>
      <c r="R13" s="13">
        <v>4500</v>
      </c>
      <c r="S13" s="41">
        <v>15090</v>
      </c>
    </row>
    <row r="14" spans="1:19" ht="19" x14ac:dyDescent="0.25">
      <c r="A14" s="17">
        <v>12</v>
      </c>
      <c r="B14" s="11">
        <v>3</v>
      </c>
      <c r="C14" s="11">
        <v>60</v>
      </c>
      <c r="D14" s="11">
        <v>5</v>
      </c>
      <c r="E14" s="11">
        <v>30</v>
      </c>
      <c r="F14" s="18">
        <v>10</v>
      </c>
      <c r="G14" s="17">
        <v>2</v>
      </c>
      <c r="H14" s="33">
        <v>0</v>
      </c>
      <c r="I14" s="19">
        <v>4.3508720397949201</v>
      </c>
      <c r="J14" s="17">
        <v>7</v>
      </c>
      <c r="K14" s="33">
        <v>0</v>
      </c>
      <c r="L14" s="19">
        <v>22.264522075653002</v>
      </c>
      <c r="M14" s="39">
        <v>-8830.4804620268606</v>
      </c>
      <c r="N14" s="36">
        <v>60</v>
      </c>
      <c r="O14" s="13">
        <v>11711</v>
      </c>
      <c r="P14" s="41">
        <v>5066</v>
      </c>
      <c r="Q14" s="36">
        <v>2520</v>
      </c>
      <c r="R14" s="13">
        <v>4500</v>
      </c>
      <c r="S14" s="41">
        <v>15090</v>
      </c>
    </row>
    <row r="15" spans="1:19" ht="18" x14ac:dyDescent="0.2">
      <c r="A15" s="17">
        <v>13</v>
      </c>
      <c r="B15" s="11">
        <v>6</v>
      </c>
      <c r="C15" s="11">
        <v>15</v>
      </c>
      <c r="D15" s="11">
        <v>5</v>
      </c>
      <c r="E15" s="11">
        <v>30</v>
      </c>
      <c r="F15" s="18">
        <v>10</v>
      </c>
      <c r="G15" s="17">
        <v>7</v>
      </c>
      <c r="H15" s="33">
        <v>0</v>
      </c>
      <c r="I15" s="19">
        <v>31.097932100295999</v>
      </c>
      <c r="J15" s="17">
        <v>8</v>
      </c>
      <c r="K15" s="33">
        <v>0</v>
      </c>
      <c r="L15" s="20">
        <v>41.678776025772002</v>
      </c>
      <c r="M15" s="38">
        <v>-16959.291448943801</v>
      </c>
      <c r="N15" s="36">
        <v>15</v>
      </c>
      <c r="O15" s="13">
        <v>5861</v>
      </c>
      <c r="P15" s="41">
        <v>986</v>
      </c>
      <c r="Q15" s="36">
        <v>5040</v>
      </c>
      <c r="R15" s="13">
        <v>9000</v>
      </c>
      <c r="S15" s="41">
        <v>30180</v>
      </c>
    </row>
    <row r="16" spans="1:19" ht="18" x14ac:dyDescent="0.2">
      <c r="A16" s="17">
        <v>14</v>
      </c>
      <c r="B16" s="11">
        <v>9</v>
      </c>
      <c r="C16" s="11">
        <v>15</v>
      </c>
      <c r="D16" s="11">
        <v>5</v>
      </c>
      <c r="E16" s="11">
        <v>30</v>
      </c>
      <c r="F16" s="18">
        <v>10</v>
      </c>
      <c r="G16" s="17">
        <v>11</v>
      </c>
      <c r="H16" s="33">
        <v>0</v>
      </c>
      <c r="I16" s="19">
        <v>81.906910896301198</v>
      </c>
      <c r="J16" s="17">
        <v>10</v>
      </c>
      <c r="K16" s="33">
        <v>0</v>
      </c>
      <c r="L16" s="20">
        <v>90.576018095016394</v>
      </c>
      <c r="M16" s="38">
        <v>-37494.998104370097</v>
      </c>
      <c r="N16" s="36">
        <v>15</v>
      </c>
      <c r="O16" s="13">
        <v>8786</v>
      </c>
      <c r="P16" s="41">
        <v>1361</v>
      </c>
      <c r="Q16" s="36">
        <v>7560</v>
      </c>
      <c r="R16" s="13">
        <v>13500</v>
      </c>
      <c r="S16" s="41">
        <v>45270</v>
      </c>
    </row>
    <row r="17" spans="1:19" ht="18" x14ac:dyDescent="0.2">
      <c r="A17" s="21">
        <v>15</v>
      </c>
      <c r="B17" s="22">
        <v>12</v>
      </c>
      <c r="C17" s="22">
        <v>15</v>
      </c>
      <c r="D17" s="22">
        <v>5</v>
      </c>
      <c r="E17" s="22">
        <v>30</v>
      </c>
      <c r="F17" s="35">
        <v>10</v>
      </c>
      <c r="G17" s="21">
        <v>19</v>
      </c>
      <c r="H17" s="23">
        <v>0</v>
      </c>
      <c r="I17" s="25">
        <v>220.561542034149</v>
      </c>
      <c r="J17" s="21">
        <v>10</v>
      </c>
      <c r="K17" s="23">
        <v>0</v>
      </c>
      <c r="L17" s="24">
        <v>118.795171022415</v>
      </c>
      <c r="M17" s="40">
        <v>-58273.502225775097</v>
      </c>
      <c r="N17" s="42">
        <v>15</v>
      </c>
      <c r="O17" s="43">
        <v>11711</v>
      </c>
      <c r="P17" s="44">
        <v>1736</v>
      </c>
      <c r="Q17" s="42">
        <v>10080</v>
      </c>
      <c r="R17" s="43">
        <v>18000</v>
      </c>
      <c r="S17" s="44">
        <v>60360</v>
      </c>
    </row>
    <row r="18" spans="1:19" x14ac:dyDescent="0.2">
      <c r="A18" s="5"/>
      <c r="K18" s="5"/>
      <c r="L18" s="5"/>
      <c r="M18" s="5"/>
      <c r="N18" s="5"/>
    </row>
    <row r="19" spans="1:19" x14ac:dyDescent="0.2">
      <c r="F19" t="s">
        <v>72</v>
      </c>
    </row>
    <row r="23" spans="1:19" x14ac:dyDescent="0.2">
      <c r="I23" s="14"/>
    </row>
  </sheetData>
  <mergeCells count="5">
    <mergeCell ref="N1:P1"/>
    <mergeCell ref="Q1:S1"/>
    <mergeCell ref="G1:I1"/>
    <mergeCell ref="J1:L1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 validation</vt:lpstr>
      <vt:lpstr>out sampel</vt:lpstr>
      <vt:lpstr>impact radius</vt:lpstr>
      <vt:lpstr>impact testing sample</vt:lpstr>
      <vt:lpstr>Impact of Uncertinaty</vt:lpstr>
      <vt:lpstr>algorithms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Hassanzadeh</dc:creator>
  <cp:lastModifiedBy>icise2025@outlook.com</cp:lastModifiedBy>
  <dcterms:created xsi:type="dcterms:W3CDTF">2025-08-09T16:22:39Z</dcterms:created>
  <dcterms:modified xsi:type="dcterms:W3CDTF">2025-10-17T02:08:47Z</dcterms:modified>
</cp:coreProperties>
</file>