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ihassanzadeh/Desktop/IP/Oil Supply Chain/result/"/>
    </mc:Choice>
  </mc:AlternateContent>
  <xr:revisionPtr revIDLastSave="0" documentId="13_ncr:1_{D1A943AE-D7D7-6F4D-8B50-0E39312F5FFF}" xr6:coauthVersionLast="47" xr6:coauthVersionMax="47" xr10:uidLastSave="{00000000-0000-0000-0000-000000000000}"/>
  <bookViews>
    <workbookView xWindow="4340" yWindow="500" windowWidth="24460" windowHeight="16260" activeTab="6" xr2:uid="{3A3E4E32-997A-8749-A3AC-57166C57D236}"/>
  </bookViews>
  <sheets>
    <sheet name="cros validation" sheetId="3" r:id="rId1"/>
    <sheet name="out sampel" sheetId="4" r:id="rId2"/>
    <sheet name="impact radius" sheetId="2" r:id="rId3"/>
    <sheet name="impact testing sample" sheetId="5" r:id="rId4"/>
    <sheet name="Impact of Uncertinaty" sheetId="6" r:id="rId5"/>
    <sheet name="Sheet1" sheetId="1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2" l="1"/>
  <c r="B15" i="2"/>
  <c r="A3" i="7" a="1"/>
  <c r="A3" i="7" s="1"/>
  <c r="A6" i="1" a="1"/>
  <c r="A6" i="1" s="1"/>
  <c r="I29" i="6"/>
  <c r="H29" i="6"/>
  <c r="C26" i="6"/>
  <c r="E26" i="6"/>
  <c r="H30" i="6" s="1"/>
  <c r="F26" i="6"/>
  <c r="I30" i="6" s="1"/>
  <c r="C25" i="6"/>
  <c r="G29" i="6" s="1"/>
  <c r="E25" i="6"/>
  <c r="F30" i="6" s="1"/>
  <c r="F25" i="6"/>
  <c r="G30" i="6" s="1"/>
  <c r="B26" i="6"/>
  <c r="B25" i="6"/>
  <c r="F29" i="6" s="1"/>
  <c r="F24" i="6"/>
  <c r="C30" i="6" s="1"/>
  <c r="F23" i="6"/>
  <c r="E30" i="6" s="1"/>
  <c r="E24" i="6"/>
  <c r="B30" i="6" s="1"/>
  <c r="E23" i="6"/>
  <c r="D30" i="6" s="1"/>
  <c r="B29" i="6"/>
  <c r="C24" i="6"/>
  <c r="C29" i="6" s="1"/>
  <c r="B24" i="6"/>
  <c r="C23" i="6"/>
  <c r="E29" i="6" s="1"/>
  <c r="B23" i="6"/>
  <c r="D29" i="6" s="1"/>
  <c r="F5" i="5"/>
  <c r="F6" i="5" s="1"/>
  <c r="F7" i="5" s="1"/>
  <c r="B19" i="2"/>
  <c r="C19" i="2"/>
  <c r="D19" i="2"/>
  <c r="E19" i="2"/>
  <c r="F19" i="2"/>
  <c r="G19" i="2"/>
  <c r="H19" i="2"/>
  <c r="J19" i="2"/>
  <c r="K19" i="2"/>
  <c r="L19" i="2"/>
  <c r="I19" i="2"/>
  <c r="D15" i="2"/>
  <c r="E15" i="2"/>
  <c r="F15" i="2"/>
  <c r="G15" i="2"/>
  <c r="H15" i="2"/>
  <c r="I15" i="2"/>
  <c r="J15" i="2"/>
  <c r="K15" i="2"/>
  <c r="L15" i="2"/>
  <c r="C15" i="2"/>
  <c r="C2" i="4"/>
  <c r="C3" i="4"/>
  <c r="E8" i="3"/>
  <c r="D8" i="3"/>
  <c r="C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<sst xmlns="http://schemas.openxmlformats.org/spreadsheetml/2006/main" count="124" uniqueCount="75">
  <si>
    <t>I</t>
  </si>
  <si>
    <t>J</t>
  </si>
  <si>
    <t>K</t>
  </si>
  <si>
    <t>M</t>
  </si>
  <si>
    <t>BD</t>
  </si>
  <si>
    <t>Iter</t>
  </si>
  <si>
    <t>Obj</t>
  </si>
  <si>
    <t>Gap</t>
  </si>
  <si>
    <t>CCG</t>
  </si>
  <si>
    <t>Sampel</t>
  </si>
  <si>
    <t>Run Time</t>
  </si>
  <si>
    <t>rad</t>
  </si>
  <si>
    <t>K1</t>
  </si>
  <si>
    <t>K2</t>
  </si>
  <si>
    <t>K3</t>
  </si>
  <si>
    <t>K4</t>
  </si>
  <si>
    <t>K5</t>
  </si>
  <si>
    <t>Tses-Sample</t>
  </si>
  <si>
    <t>obj</t>
  </si>
  <si>
    <t>time</t>
  </si>
  <si>
    <t>AVG</t>
  </si>
  <si>
    <t>80-100</t>
  </si>
  <si>
    <t>60-80</t>
  </si>
  <si>
    <t>40-60</t>
  </si>
  <si>
    <t>20-40</t>
  </si>
  <si>
    <t>0-20</t>
  </si>
  <si>
    <t>Sampel Number</t>
  </si>
  <si>
    <t>DRO</t>
  </si>
  <si>
    <t>Stochastic</t>
  </si>
  <si>
    <t>FS Cost</t>
  </si>
  <si>
    <t>SS Cost (Avg)</t>
  </si>
  <si>
    <t>SS Revenu (Avg)</t>
  </si>
  <si>
    <t>Total Profit (Avg)</t>
  </si>
  <si>
    <t>Total Profit (Std)</t>
  </si>
  <si>
    <t>Best Case</t>
  </si>
  <si>
    <t>Worst Case</t>
  </si>
  <si>
    <t>Model</t>
  </si>
  <si>
    <t>obj in sample</t>
  </si>
  <si>
    <t>obj out sample</t>
  </si>
  <si>
    <t>xk1</t>
  </si>
  <si>
    <t>xk2</t>
  </si>
  <si>
    <t>xk3</t>
  </si>
  <si>
    <t>xk4</t>
  </si>
  <si>
    <t>xk5</t>
  </si>
  <si>
    <t>buy</t>
  </si>
  <si>
    <t>sell</t>
  </si>
  <si>
    <t>FS</t>
  </si>
  <si>
    <t>SS-R</t>
  </si>
  <si>
    <t>SS-C</t>
  </si>
  <si>
    <t>std</t>
  </si>
  <si>
    <t>min</t>
  </si>
  <si>
    <t>max</t>
  </si>
  <si>
    <t>demand responsivenes</t>
  </si>
  <si>
    <t>total demand</t>
  </si>
  <si>
    <t>total response</t>
  </si>
  <si>
    <t>ca4</t>
  </si>
  <si>
    <t>dro</t>
  </si>
  <si>
    <t>STD</t>
  </si>
  <si>
    <t>Range</t>
  </si>
  <si>
    <t>dem</t>
  </si>
  <si>
    <t>dro(range)</t>
  </si>
  <si>
    <t>sto(range)</t>
  </si>
  <si>
    <t>dro(std)</t>
  </si>
  <si>
    <t>sto(std)</t>
  </si>
  <si>
    <t>sto</t>
  </si>
  <si>
    <t>Min</t>
  </si>
  <si>
    <t>Max</t>
  </si>
  <si>
    <t>Min(dro)</t>
  </si>
  <si>
    <t>Min(Sto)</t>
  </si>
  <si>
    <t>Max(Dro)</t>
  </si>
  <si>
    <t>Max(Sto)</t>
  </si>
  <si>
    <t>NO.</t>
  </si>
  <si>
    <t>L-Shape</t>
  </si>
  <si>
    <t>no.7</t>
  </si>
  <si>
    <t>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</si>
</sst>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sz val="14"/>
      <color rgb="FF1F1F1F"/>
      <name val="Courier New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4"/>
      <color rgb="FF1F1F1F"/>
      <name val="Times New Roman"/>
      <family val="1"/>
    </font>
    <font>
      <sz val="12"/>
      <color theme="0"/>
      <name val="Times New Roman"/>
      <family val="1"/>
    </font>
    <font>
      <sz val="14"/>
      <color theme="0"/>
      <name val="Courier New"/>
      <family val="1"/>
    </font>
    <font>
      <sz val="12"/>
      <color rgb="FF1F1F1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0" xfId="0" applyNumberFormat="1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9" fontId="2" fillId="0" borderId="7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9" fontId="5" fillId="2" borderId="0" xfId="0" applyNumberFormat="1" applyFont="1" applyFill="1" applyAlignment="1">
      <alignment horizontal="center"/>
    </xf>
    <xf numFmtId="0" fontId="6" fillId="2" borderId="5" xfId="0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5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7" fillId="0" borderId="5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5</xdr:row>
      <xdr:rowOff>173567</xdr:rowOff>
    </xdr:from>
    <xdr:to>
      <xdr:col>9</xdr:col>
      <xdr:colOff>58911</xdr:colOff>
      <xdr:row>27</xdr:row>
      <xdr:rowOff>179274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B96454-3D48-EAC5-49DA-DA03C7898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1282700"/>
          <a:ext cx="7789333" cy="4645441"/>
        </a:xfrm>
        <a:prstGeom prst="rect">
          <a:avLst/>
        </a:prstGeom>
      </xdr:spPr>
    </xdr:pic>
    <xdr:clientData/>
  </xdr:twoCellAnchor>
  <xdr:twoCellAnchor editAs="oneCell">
    <xdr:from>
      <xdr:col>9</xdr:col>
      <xdr:colOff>198966</xdr:colOff>
      <xdr:row>5</xdr:row>
      <xdr:rowOff>143934</xdr:rowOff>
    </xdr:from>
    <xdr:to>
      <xdr:col>18</xdr:col>
      <xdr:colOff>546100</xdr:colOff>
      <xdr:row>27</xdr:row>
      <xdr:rowOff>149641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40902B2-ADCD-0F35-0C7E-A24A83A2B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3899" y="1253067"/>
          <a:ext cx="7814734" cy="46454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BABD3-3B40-AC41-8EF4-C12B0DA94167}">
  <dimension ref="A1:G8"/>
  <sheetViews>
    <sheetView zoomScale="183" workbookViewId="0">
      <selection sqref="A1:E9"/>
    </sheetView>
  </sheetViews>
  <sheetFormatPr baseColWidth="10" defaultRowHeight="16" x14ac:dyDescent="0.2"/>
  <sheetData>
    <row r="1" spans="1:7" x14ac:dyDescent="0.2">
      <c r="C1" s="36" t="s">
        <v>11</v>
      </c>
      <c r="D1" s="36"/>
      <c r="E1" s="36"/>
    </row>
    <row r="2" spans="1:7" x14ac:dyDescent="0.2">
      <c r="A2" s="15" t="s">
        <v>26</v>
      </c>
      <c r="B2" s="15" t="s">
        <v>17</v>
      </c>
      <c r="C2" s="15">
        <v>100</v>
      </c>
      <c r="D2" s="15">
        <v>200</v>
      </c>
      <c r="E2" s="15">
        <v>500</v>
      </c>
    </row>
    <row r="3" spans="1:7" ht="19" x14ac:dyDescent="0.2">
      <c r="A3" s="15" t="s">
        <v>25</v>
      </c>
      <c r="B3" s="15" t="s">
        <v>12</v>
      </c>
      <c r="C3" s="16">
        <v>-9286.6096814296798</v>
      </c>
      <c r="D3" s="16">
        <v>-9249.5430147630104</v>
      </c>
      <c r="E3" s="16">
        <v>-9249.1930147630101</v>
      </c>
    </row>
    <row r="4" spans="1:7" ht="19" x14ac:dyDescent="0.2">
      <c r="A4" s="15" t="s">
        <v>24</v>
      </c>
      <c r="B4" s="15" t="s">
        <v>13</v>
      </c>
      <c r="C4" s="16">
        <v>-9195.4096814296809</v>
      </c>
      <c r="D4" s="16">
        <v>-9166.1596814296809</v>
      </c>
      <c r="E4" s="16">
        <v>-9168.6096814296798</v>
      </c>
      <c r="G4" s="16"/>
    </row>
    <row r="5" spans="1:7" ht="19" x14ac:dyDescent="0.2">
      <c r="A5" s="15" t="s">
        <v>23</v>
      </c>
      <c r="B5" s="15" t="s">
        <v>14</v>
      </c>
      <c r="C5" s="16">
        <v>-9188.0096814296794</v>
      </c>
      <c r="D5" s="16">
        <v>-9150.3763480963407</v>
      </c>
      <c r="E5" s="16">
        <v>-9157.42634809634</v>
      </c>
      <c r="G5" s="16"/>
    </row>
    <row r="6" spans="1:7" ht="19" x14ac:dyDescent="0.2">
      <c r="A6" s="15" t="s">
        <v>22</v>
      </c>
      <c r="B6" s="15" t="s">
        <v>15</v>
      </c>
      <c r="C6" s="16">
        <v>-9178.7096814296801</v>
      </c>
      <c r="D6" s="16">
        <v>-9193.1263480963407</v>
      </c>
      <c r="E6" s="16">
        <v>-9147.3096814296805</v>
      </c>
      <c r="G6" s="16"/>
    </row>
    <row r="7" spans="1:7" ht="19" x14ac:dyDescent="0.2">
      <c r="A7" s="15" t="s">
        <v>21</v>
      </c>
      <c r="B7" s="15" t="s">
        <v>16</v>
      </c>
      <c r="C7" s="16">
        <v>-9224.8763480963498</v>
      </c>
      <c r="D7" s="16">
        <v>-9193.1263480963407</v>
      </c>
      <c r="E7" s="16">
        <v>-9186.9763480963393</v>
      </c>
    </row>
    <row r="8" spans="1:7" x14ac:dyDescent="0.2">
      <c r="A8" s="35" t="s">
        <v>20</v>
      </c>
      <c r="B8" s="35"/>
      <c r="C8" s="15">
        <f>AVERAGE(C3:C7)</f>
        <v>-9214.7230147630144</v>
      </c>
      <c r="D8" s="15">
        <f>AVERAGE(D3:D7)</f>
        <v>-9190.4663480963409</v>
      </c>
      <c r="E8" s="15">
        <f>AVERAGE(E3:E7)</f>
        <v>-9181.9030147630092</v>
      </c>
    </row>
  </sheetData>
  <mergeCells count="2">
    <mergeCell ref="A8:B8"/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8A0BC-B662-A043-B5EC-A9C688E09AFF}">
  <dimension ref="A1:H12"/>
  <sheetViews>
    <sheetView zoomScale="119" workbookViewId="0">
      <selection activeCell="A3" sqref="A3"/>
    </sheetView>
  </sheetViews>
  <sheetFormatPr baseColWidth="10" defaultRowHeight="16" x14ac:dyDescent="0.2"/>
  <cols>
    <col min="1" max="1" width="9.1640625" bestFit="1" customWidth="1"/>
    <col min="2" max="2" width="9.33203125" bestFit="1" customWidth="1"/>
    <col min="3" max="3" width="13" bestFit="1" customWidth="1"/>
    <col min="4" max="4" width="15.33203125" bestFit="1" customWidth="1"/>
    <col min="5" max="5" width="15.5" bestFit="1" customWidth="1"/>
    <col min="6" max="6" width="14.6640625" bestFit="1" customWidth="1"/>
    <col min="7" max="7" width="9" bestFit="1" customWidth="1"/>
    <col min="8" max="8" width="10.33203125" bestFit="1" customWidth="1"/>
  </cols>
  <sheetData>
    <row r="1" spans="1:8" x14ac:dyDescent="0.2">
      <c r="A1" s="4" t="s">
        <v>36</v>
      </c>
      <c r="B1" s="4" t="s">
        <v>29</v>
      </c>
      <c r="C1" s="4" t="s">
        <v>30</v>
      </c>
      <c r="D1" s="4" t="s">
        <v>31</v>
      </c>
      <c r="E1" s="4" t="s">
        <v>32</v>
      </c>
      <c r="F1" s="4" t="s">
        <v>33</v>
      </c>
      <c r="G1" s="4" t="s">
        <v>34</v>
      </c>
      <c r="H1" s="4" t="s">
        <v>35</v>
      </c>
    </row>
    <row r="2" spans="1:8" ht="18" x14ac:dyDescent="0.2">
      <c r="A2" s="4" t="s">
        <v>27</v>
      </c>
      <c r="B2" s="17">
        <v>2981.2903185703099</v>
      </c>
      <c r="C2" s="17">
        <f>D2-E2-B2</f>
        <v>5907.669999999981</v>
      </c>
      <c r="D2" s="17">
        <v>18102.593333333301</v>
      </c>
      <c r="E2" s="17">
        <v>9213.6330147630106</v>
      </c>
      <c r="F2" s="17">
        <v>134.68218437822</v>
      </c>
      <c r="G2" s="17">
        <v>9519.3205527586506</v>
      </c>
      <c r="H2" s="17">
        <v>8869.7933316034596</v>
      </c>
    </row>
    <row r="3" spans="1:8" ht="18" x14ac:dyDescent="0.2">
      <c r="A3" s="4" t="s">
        <v>28</v>
      </c>
      <c r="B3" s="17">
        <v>3111.5069852369802</v>
      </c>
      <c r="C3" s="17">
        <f>D3-E3-B3</f>
        <v>5882.6827777777107</v>
      </c>
      <c r="D3" s="17">
        <v>18179.027777777701</v>
      </c>
      <c r="E3" s="17">
        <v>9184.8380147630105</v>
      </c>
      <c r="F3" s="17">
        <v>151.961021357573</v>
      </c>
      <c r="G3" s="17">
        <v>9476.8078833366799</v>
      </c>
      <c r="H3" s="17">
        <v>8650.7358366212702</v>
      </c>
    </row>
    <row r="4" spans="1:8" ht="19" x14ac:dyDescent="0.25">
      <c r="E4" s="2"/>
    </row>
    <row r="8" spans="1:8" ht="19" x14ac:dyDescent="0.25">
      <c r="E8" s="2"/>
    </row>
    <row r="10" spans="1:8" ht="19" x14ac:dyDescent="0.25">
      <c r="E10" s="2"/>
    </row>
    <row r="11" spans="1:8" ht="19" x14ac:dyDescent="0.25">
      <c r="E11" s="2"/>
    </row>
    <row r="12" spans="1:8" ht="19" x14ac:dyDescent="0.25">
      <c r="E12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2FAC8-4B5A-0F4C-BD94-20796A7F5F6D}">
  <dimension ref="A1:AK31"/>
  <sheetViews>
    <sheetView zoomScale="111" workbookViewId="0">
      <selection sqref="A1:A21"/>
    </sheetView>
  </sheetViews>
  <sheetFormatPr baseColWidth="10" defaultRowHeight="16" x14ac:dyDescent="0.2"/>
  <cols>
    <col min="1" max="1" width="20" bestFit="1" customWidth="1"/>
    <col min="2" max="2" width="11.6640625" bestFit="1" customWidth="1"/>
  </cols>
  <sheetData>
    <row r="1" spans="1:37" x14ac:dyDescent="0.2">
      <c r="A1" t="s">
        <v>11</v>
      </c>
      <c r="B1">
        <v>0</v>
      </c>
      <c r="C1">
        <v>100</v>
      </c>
      <c r="D1">
        <v>200</v>
      </c>
      <c r="E1">
        <v>300</v>
      </c>
      <c r="F1">
        <v>400</v>
      </c>
      <c r="G1">
        <v>500</v>
      </c>
      <c r="H1">
        <v>600</v>
      </c>
      <c r="I1">
        <v>700</v>
      </c>
      <c r="J1">
        <v>800</v>
      </c>
      <c r="K1">
        <v>900</v>
      </c>
      <c r="L1">
        <v>1000</v>
      </c>
    </row>
    <row r="2" spans="1:37" ht="19" x14ac:dyDescent="0.25">
      <c r="A2" t="s">
        <v>37</v>
      </c>
      <c r="B2" s="2">
        <v>-9233.3430147630097</v>
      </c>
      <c r="C2" s="2">
        <v>-8403.5451703886702</v>
      </c>
      <c r="D2" s="2">
        <v>-7695.5021437412397</v>
      </c>
      <c r="E2" s="2">
        <v>-6961.8351834377099</v>
      </c>
      <c r="F2" s="2">
        <v>-6401.9843882973501</v>
      </c>
      <c r="G2" s="2">
        <v>-6325.0606707751904</v>
      </c>
      <c r="H2" s="2">
        <v>-6253.7141799547499</v>
      </c>
      <c r="I2" s="2">
        <v>-6186.0054344632299</v>
      </c>
      <c r="J2" s="2">
        <v>-6159.2027277873003</v>
      </c>
      <c r="K2" s="2">
        <v>-6116.6160508357098</v>
      </c>
      <c r="L2" s="2">
        <v>-6115.9390189912501</v>
      </c>
      <c r="AH2">
        <v>1500</v>
      </c>
      <c r="AI2">
        <v>800</v>
      </c>
      <c r="AJ2">
        <v>1800</v>
      </c>
      <c r="AK2">
        <v>2800</v>
      </c>
    </row>
    <row r="3" spans="1:37" ht="19" x14ac:dyDescent="0.25">
      <c r="A3" t="s">
        <v>19</v>
      </c>
      <c r="B3" s="2">
        <v>73.449444770812903</v>
      </c>
      <c r="C3" s="2">
        <v>85.148561716079698</v>
      </c>
      <c r="D3" s="2">
        <v>64.529662847518907</v>
      </c>
      <c r="E3" s="2">
        <v>66.280312776565495</v>
      </c>
      <c r="F3" s="2">
        <v>65.537774801254201</v>
      </c>
      <c r="G3" s="2">
        <v>66.005684852600098</v>
      </c>
      <c r="H3" s="2">
        <v>66.726860523223806</v>
      </c>
      <c r="I3" s="2">
        <v>61.812727451324399</v>
      </c>
      <c r="J3" s="2">
        <v>48.535794734954798</v>
      </c>
      <c r="K3" s="2">
        <v>48.707328319549497</v>
      </c>
      <c r="L3" s="2">
        <v>47.963140249252298</v>
      </c>
      <c r="N3" s="2"/>
      <c r="AK3" s="2">
        <v>-6103.6736997931703</v>
      </c>
    </row>
    <row r="4" spans="1:37" ht="19" x14ac:dyDescent="0.25">
      <c r="A4" t="s">
        <v>37</v>
      </c>
      <c r="B4" s="2">
        <v>-9221.1513480963495</v>
      </c>
      <c r="C4" s="2">
        <v>-9180.7096814296801</v>
      </c>
      <c r="D4" s="2">
        <v>-7662.6474817875496</v>
      </c>
      <c r="E4" s="2">
        <v>-6926.7115978617403</v>
      </c>
      <c r="F4" s="2">
        <v>-6386.4206717678398</v>
      </c>
      <c r="G4" s="2">
        <v>-6297.8219621314302</v>
      </c>
      <c r="H4" s="2">
        <v>-6217.8243465567002</v>
      </c>
      <c r="I4" s="2">
        <v>-6217.8243465567002</v>
      </c>
      <c r="J4" s="2">
        <v>-6217.8243465567002</v>
      </c>
      <c r="K4" s="2">
        <v>-6217.8243465567002</v>
      </c>
      <c r="L4" s="2">
        <v>-6217.8243465567002</v>
      </c>
      <c r="N4" s="2"/>
    </row>
    <row r="5" spans="1:37" ht="19" x14ac:dyDescent="0.25">
      <c r="A5" t="s">
        <v>38</v>
      </c>
      <c r="B5" s="2">
        <v>-9209.5546814296795</v>
      </c>
      <c r="C5" s="2">
        <v>-9208.4451554358002</v>
      </c>
      <c r="D5" s="2">
        <v>-9191.2063979429695</v>
      </c>
      <c r="E5" s="2">
        <v>-9171.7548945340095</v>
      </c>
      <c r="F5" s="2">
        <v>-9170.1296814296802</v>
      </c>
      <c r="G5" s="2">
        <v>-9168.1430147630108</v>
      </c>
      <c r="H5" s="2">
        <v>-9168.1430147630108</v>
      </c>
      <c r="I5" s="2">
        <v>-9168.1430147630108</v>
      </c>
      <c r="J5" s="2">
        <v>-9168.1430147630108</v>
      </c>
      <c r="K5" s="2">
        <v>-9168.1430147630108</v>
      </c>
      <c r="L5" s="2">
        <v>-9168.1430147630108</v>
      </c>
    </row>
    <row r="6" spans="1:37" ht="19" x14ac:dyDescent="0.25">
      <c r="A6" t="s">
        <v>39</v>
      </c>
      <c r="B6" s="2">
        <v>389</v>
      </c>
      <c r="C6" s="2">
        <v>380.36697247706701</v>
      </c>
      <c r="D6" s="2">
        <v>362.59355828220498</v>
      </c>
      <c r="E6" s="2">
        <v>349.46533078880498</v>
      </c>
      <c r="F6" s="2">
        <v>357</v>
      </c>
      <c r="G6" s="2">
        <v>344</v>
      </c>
      <c r="H6" s="2">
        <v>344</v>
      </c>
      <c r="I6" s="2">
        <v>344</v>
      </c>
      <c r="J6" s="2">
        <v>344</v>
      </c>
      <c r="K6" s="2">
        <v>344</v>
      </c>
      <c r="L6" s="2">
        <v>344</v>
      </c>
    </row>
    <row r="7" spans="1:37" ht="19" x14ac:dyDescent="0.25">
      <c r="A7" t="s">
        <v>40</v>
      </c>
      <c r="B7" s="2">
        <v>402</v>
      </c>
      <c r="C7" s="2">
        <v>399.84403669724401</v>
      </c>
      <c r="D7" s="2">
        <v>403</v>
      </c>
      <c r="E7" s="2">
        <v>403</v>
      </c>
      <c r="F7" s="2">
        <v>390</v>
      </c>
      <c r="G7" s="2">
        <v>403</v>
      </c>
      <c r="H7" s="2">
        <v>403</v>
      </c>
      <c r="I7" s="2">
        <v>403</v>
      </c>
      <c r="J7" s="2">
        <v>403</v>
      </c>
      <c r="K7" s="2">
        <v>403</v>
      </c>
      <c r="L7" s="2">
        <v>403</v>
      </c>
    </row>
    <row r="8" spans="1:37" ht="19" x14ac:dyDescent="0.25">
      <c r="A8" t="s">
        <v>41</v>
      </c>
      <c r="B8" s="2">
        <v>415</v>
      </c>
      <c r="C8" s="2">
        <v>415</v>
      </c>
      <c r="D8" s="2">
        <v>415</v>
      </c>
      <c r="E8" s="2">
        <v>415</v>
      </c>
      <c r="F8" s="2">
        <v>415</v>
      </c>
      <c r="G8" s="2">
        <v>415</v>
      </c>
      <c r="H8" s="2">
        <v>415</v>
      </c>
      <c r="I8" s="2">
        <v>415</v>
      </c>
      <c r="J8" s="2">
        <v>415</v>
      </c>
      <c r="K8" s="2">
        <v>415</v>
      </c>
      <c r="L8" s="2">
        <v>415</v>
      </c>
    </row>
    <row r="9" spans="1:37" ht="19" x14ac:dyDescent="0.25">
      <c r="A9" t="s">
        <v>42</v>
      </c>
      <c r="B9" s="2">
        <v>401</v>
      </c>
      <c r="C9" s="2">
        <v>399</v>
      </c>
      <c r="D9" s="2">
        <v>399</v>
      </c>
      <c r="E9" s="2">
        <v>409.534669211194</v>
      </c>
      <c r="F9" s="2">
        <v>399</v>
      </c>
      <c r="G9" s="2">
        <v>399</v>
      </c>
      <c r="H9" s="2">
        <v>399</v>
      </c>
      <c r="I9" s="2">
        <v>399</v>
      </c>
      <c r="J9" s="2">
        <v>399</v>
      </c>
      <c r="K9" s="2">
        <v>399</v>
      </c>
      <c r="L9" s="2">
        <v>399</v>
      </c>
      <c r="Q9" s="2"/>
      <c r="T9" s="2"/>
    </row>
    <row r="10" spans="1:37" ht="19" x14ac:dyDescent="0.25">
      <c r="A10" t="s">
        <v>43</v>
      </c>
      <c r="B10" s="2">
        <v>419</v>
      </c>
      <c r="C10" s="2">
        <v>424</v>
      </c>
      <c r="D10" s="2">
        <v>419.44248466257801</v>
      </c>
      <c r="E10" s="2">
        <v>408</v>
      </c>
      <c r="F10" s="2">
        <v>424</v>
      </c>
      <c r="G10" s="2">
        <v>424</v>
      </c>
      <c r="H10" s="2">
        <v>424</v>
      </c>
      <c r="I10" s="2">
        <v>424</v>
      </c>
      <c r="J10" s="2">
        <v>424</v>
      </c>
      <c r="K10" s="2">
        <v>424</v>
      </c>
      <c r="L10" s="2">
        <v>424</v>
      </c>
    </row>
    <row r="11" spans="1:37" ht="19" x14ac:dyDescent="0.25">
      <c r="A11" t="s">
        <v>44</v>
      </c>
      <c r="B11" s="2">
        <v>410.25</v>
      </c>
      <c r="C11" s="2">
        <v>404.292018348623</v>
      </c>
      <c r="D11" s="2">
        <v>391.34119631901598</v>
      </c>
      <c r="E11" s="2">
        <v>382.02326653943999</v>
      </c>
      <c r="F11" s="2">
        <v>382.78</v>
      </c>
      <c r="G11" s="2">
        <v>383.08</v>
      </c>
      <c r="H11" s="2">
        <v>383.08</v>
      </c>
      <c r="I11" s="2">
        <v>383.08</v>
      </c>
      <c r="J11" s="2">
        <v>383.08</v>
      </c>
      <c r="K11" s="2">
        <v>383.08</v>
      </c>
      <c r="L11" s="2">
        <v>383.08</v>
      </c>
    </row>
    <row r="12" spans="1:37" ht="19" x14ac:dyDescent="0.25">
      <c r="A12" t="s">
        <v>45</v>
      </c>
      <c r="B12" s="2">
        <v>0</v>
      </c>
      <c r="C12" s="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37" ht="19" x14ac:dyDescent="0.25">
      <c r="A13" t="s">
        <v>46</v>
      </c>
      <c r="B13" s="2">
        <v>3066.4319852369799</v>
      </c>
      <c r="C13" s="2">
        <v>3027.4221228516599</v>
      </c>
      <c r="D13" s="2">
        <v>2941.3514573739899</v>
      </c>
      <c r="E13" s="2">
        <v>2885.09031857031</v>
      </c>
      <c r="F13" s="2">
        <v>2885.09031857031</v>
      </c>
      <c r="G13" s="2">
        <v>2885.09031857031</v>
      </c>
      <c r="H13" s="2">
        <v>2885.09031857031</v>
      </c>
      <c r="I13" s="2">
        <v>2885.09031857031</v>
      </c>
      <c r="J13" s="2">
        <v>2885.09031857031</v>
      </c>
      <c r="K13" s="2">
        <v>2885.09031857031</v>
      </c>
      <c r="L13" s="2">
        <v>2885.09031857031</v>
      </c>
    </row>
    <row r="14" spans="1:37" ht="19" x14ac:dyDescent="0.25">
      <c r="A14" t="s">
        <v>47</v>
      </c>
      <c r="B14" s="2">
        <v>18234.276666666599</v>
      </c>
      <c r="C14" s="2">
        <v>18159.1621712538</v>
      </c>
      <c r="D14" s="2">
        <v>18000.628652862899</v>
      </c>
      <c r="E14" s="2">
        <v>17890.9144582273</v>
      </c>
      <c r="F14" s="2">
        <v>17870.5133333333</v>
      </c>
      <c r="G14" s="2">
        <v>17863.163333333301</v>
      </c>
      <c r="H14" s="2">
        <v>17863.163333333301</v>
      </c>
      <c r="I14" s="2">
        <v>17863.163333333301</v>
      </c>
      <c r="J14" s="2">
        <v>17863.163333333301</v>
      </c>
      <c r="K14" s="2">
        <v>17863.163333333301</v>
      </c>
      <c r="L14" s="2">
        <v>17863.163333333301</v>
      </c>
    </row>
    <row r="15" spans="1:37" x14ac:dyDescent="0.2">
      <c r="A15" t="s">
        <v>48</v>
      </c>
      <c r="B15">
        <f>B14+B5-B13</f>
        <v>5958.2899999999399</v>
      </c>
      <c r="C15">
        <f>C14+C5-C13</f>
        <v>5923.2948929663398</v>
      </c>
      <c r="D15">
        <f t="shared" ref="D15:L15" si="0">D14+D5-D13</f>
        <v>5868.0707975459391</v>
      </c>
      <c r="E15">
        <f t="shared" si="0"/>
        <v>5834.0692451229806</v>
      </c>
      <c r="F15">
        <f t="shared" si="0"/>
        <v>5815.2933333333094</v>
      </c>
      <c r="G15">
        <f t="shared" si="0"/>
        <v>5809.9299999999803</v>
      </c>
      <c r="H15">
        <f t="shared" si="0"/>
        <v>5809.9299999999803</v>
      </c>
      <c r="I15">
        <f t="shared" si="0"/>
        <v>5809.9299999999803</v>
      </c>
      <c r="J15">
        <f t="shared" si="0"/>
        <v>5809.9299999999803</v>
      </c>
      <c r="K15">
        <f t="shared" si="0"/>
        <v>5809.9299999999803</v>
      </c>
      <c r="L15">
        <f t="shared" si="0"/>
        <v>5809.9299999999803</v>
      </c>
    </row>
    <row r="16" spans="1:37" ht="19" x14ac:dyDescent="0.25">
      <c r="A16" t="s">
        <v>49</v>
      </c>
      <c r="B16" s="2">
        <v>157.31989292874201</v>
      </c>
      <c r="C16">
        <v>153</v>
      </c>
      <c r="D16" s="2">
        <v>147.36072207321101</v>
      </c>
      <c r="E16" s="2">
        <v>141.510918926025</v>
      </c>
      <c r="F16" s="2">
        <v>142.12455585780199</v>
      </c>
      <c r="G16" s="2">
        <v>142.17709223203099</v>
      </c>
      <c r="H16" s="2">
        <v>142.17709223203099</v>
      </c>
      <c r="I16" s="2">
        <v>142.17709223203099</v>
      </c>
      <c r="J16" s="2">
        <v>142.17709223203099</v>
      </c>
      <c r="K16" s="2">
        <v>142.17709223203099</v>
      </c>
      <c r="L16" s="2">
        <v>142.17709223203099</v>
      </c>
    </row>
    <row r="17" spans="1:16" ht="19" x14ac:dyDescent="0.25">
      <c r="A17" t="s">
        <v>50</v>
      </c>
      <c r="B17" s="2">
        <v>-9591.2346814296798</v>
      </c>
      <c r="C17" s="2">
        <v>-9579.9142685856405</v>
      </c>
      <c r="D17" s="2">
        <v>-9541.5554955912303</v>
      </c>
      <c r="E17" s="2">
        <v>-9500.7314583592797</v>
      </c>
      <c r="F17" s="2">
        <v>-9504.2430147630093</v>
      </c>
      <c r="G17" s="2">
        <v>-9504.2430147630093</v>
      </c>
      <c r="H17" s="2">
        <v>-9504.2430147630093</v>
      </c>
      <c r="I17" s="2">
        <v>-9504.2430147630093</v>
      </c>
      <c r="J17" s="2">
        <v>-9504.2430147630093</v>
      </c>
      <c r="K17" s="2">
        <v>-9504.2430147630093</v>
      </c>
      <c r="L17" s="2">
        <v>-9504.2430147630093</v>
      </c>
    </row>
    <row r="18" spans="1:16" ht="19" x14ac:dyDescent="0.25">
      <c r="A18" t="s">
        <v>51</v>
      </c>
      <c r="B18" s="2">
        <v>-8709.2346814296798</v>
      </c>
      <c r="C18" s="2">
        <v>-8722.6329230198899</v>
      </c>
      <c r="D18" s="2">
        <v>-8712.8287573499201</v>
      </c>
      <c r="E18" s="2">
        <v>-8698.9096814296809</v>
      </c>
      <c r="F18" s="2">
        <v>-8698.9096814296809</v>
      </c>
      <c r="G18" s="2">
        <v>-8698.9096814296809</v>
      </c>
      <c r="H18" s="2">
        <v>-8698.9096814296809</v>
      </c>
      <c r="I18" s="2">
        <v>-8698.9096814296809</v>
      </c>
      <c r="J18" s="2">
        <v>-8698.9096814296809</v>
      </c>
      <c r="K18" s="2">
        <v>-8698.9096814296809</v>
      </c>
      <c r="L18" s="2">
        <v>-8698.9096814296809</v>
      </c>
      <c r="P18">
        <v>-11968.8545386189</v>
      </c>
    </row>
    <row r="19" spans="1:16" x14ac:dyDescent="0.2">
      <c r="A19" t="s">
        <v>52</v>
      </c>
      <c r="B19">
        <f t="shared" ref="B19:L19" si="1">(B21/B20)*100</f>
        <v>7.0122377273362444</v>
      </c>
      <c r="C19">
        <f t="shared" si="1"/>
        <v>6.9937930358052594</v>
      </c>
      <c r="D19">
        <f t="shared" si="1"/>
        <v>6.9772789463427163</v>
      </c>
      <c r="E19">
        <f t="shared" si="1"/>
        <v>6.9568026776508418</v>
      </c>
      <c r="F19">
        <f t="shared" si="1"/>
        <v>6.9535185093564458</v>
      </c>
      <c r="G19">
        <f t="shared" si="1"/>
        <v>6.9522165311307296</v>
      </c>
      <c r="H19">
        <f t="shared" si="1"/>
        <v>6.9522165311307296</v>
      </c>
      <c r="I19">
        <f t="shared" si="1"/>
        <v>6.9522165311307296</v>
      </c>
      <c r="J19">
        <f t="shared" si="1"/>
        <v>6.9522165311307296</v>
      </c>
      <c r="K19">
        <f t="shared" si="1"/>
        <v>6.9522165311307296</v>
      </c>
      <c r="L19">
        <f t="shared" si="1"/>
        <v>6.9522165311307296</v>
      </c>
      <c r="P19">
        <v>-11950.5296814296</v>
      </c>
    </row>
    <row r="20" spans="1:16" ht="19" x14ac:dyDescent="0.25">
      <c r="A20" t="s">
        <v>53</v>
      </c>
      <c r="B20" s="2">
        <v>7680.62</v>
      </c>
      <c r="C20" s="2">
        <v>7680.62</v>
      </c>
      <c r="D20" s="2">
        <v>7680.62</v>
      </c>
      <c r="E20" s="2">
        <v>7680.62</v>
      </c>
      <c r="F20" s="2">
        <v>7680.62</v>
      </c>
      <c r="G20" s="2">
        <v>7680.62</v>
      </c>
      <c r="H20" s="2">
        <v>7680.62</v>
      </c>
      <c r="I20" s="2">
        <v>7680.62</v>
      </c>
      <c r="J20" s="2">
        <v>7680.62</v>
      </c>
      <c r="K20" s="2">
        <v>7680.62</v>
      </c>
      <c r="L20" s="2">
        <v>7680.62</v>
      </c>
    </row>
    <row r="21" spans="1:16" ht="19" x14ac:dyDescent="0.25">
      <c r="A21" t="s">
        <v>54</v>
      </c>
      <c r="B21" s="2">
        <v>538.58333333333303</v>
      </c>
      <c r="C21" s="2">
        <v>537.16666666666595</v>
      </c>
      <c r="D21" s="2">
        <v>535.89828220858794</v>
      </c>
      <c r="E21" s="2">
        <v>534.32557782018603</v>
      </c>
      <c r="F21" s="2">
        <v>534.07333333333304</v>
      </c>
      <c r="G21" s="2">
        <v>533.97333333333302</v>
      </c>
      <c r="H21" s="2">
        <v>533.97333333333302</v>
      </c>
      <c r="I21" s="2">
        <v>533.97333333333302</v>
      </c>
      <c r="J21" s="2">
        <v>533.97333333333302</v>
      </c>
      <c r="K21" s="2">
        <v>533.97333333333302</v>
      </c>
      <c r="L21" s="2">
        <v>533.97333333333302</v>
      </c>
    </row>
    <row r="24" spans="1:16" x14ac:dyDescent="0.2">
      <c r="K24" t="s">
        <v>64</v>
      </c>
      <c r="L24" t="s">
        <v>56</v>
      </c>
    </row>
    <row r="25" spans="1:16" x14ac:dyDescent="0.2">
      <c r="K25">
        <v>-11978.691348096299</v>
      </c>
      <c r="L25">
        <v>-11992.3850222281</v>
      </c>
    </row>
    <row r="26" spans="1:16" x14ac:dyDescent="0.2">
      <c r="K26">
        <v>363.44678123335802</v>
      </c>
      <c r="L26">
        <v>359.90389669268302</v>
      </c>
    </row>
    <row r="28" spans="1:16" x14ac:dyDescent="0.2">
      <c r="G28">
        <v>26802.715</v>
      </c>
    </row>
    <row r="29" spans="1:16" x14ac:dyDescent="0.2">
      <c r="G29">
        <v>12764.594999999999</v>
      </c>
    </row>
    <row r="30" spans="1:16" x14ac:dyDescent="0.2">
      <c r="G30">
        <v>2917.1569852369798</v>
      </c>
    </row>
    <row r="31" spans="1:16" x14ac:dyDescent="0.2">
      <c r="G31">
        <f>G28-G29-G30</f>
        <v>11120.963014763021</v>
      </c>
      <c r="H31">
        <v>-11122.956348096301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FDE54-3F8C-A840-B6FB-2502E2B4AB38}">
  <dimension ref="A1:F11"/>
  <sheetViews>
    <sheetView zoomScale="168" workbookViewId="0">
      <selection sqref="A1:C11"/>
    </sheetView>
  </sheetViews>
  <sheetFormatPr baseColWidth="10" defaultRowHeight="16" x14ac:dyDescent="0.2"/>
  <sheetData>
    <row r="1" spans="1:6" x14ac:dyDescent="0.2">
      <c r="B1" t="s">
        <v>49</v>
      </c>
      <c r="C1" t="s">
        <v>18</v>
      </c>
    </row>
    <row r="2" spans="1:6" ht="19" x14ac:dyDescent="0.25">
      <c r="A2">
        <v>10</v>
      </c>
      <c r="B2" s="2">
        <v>151.68683221251101</v>
      </c>
      <c r="C2" s="2">
        <v>-9178.8363480963508</v>
      </c>
    </row>
    <row r="3" spans="1:6" ht="19" x14ac:dyDescent="0.25">
      <c r="A3">
        <v>20</v>
      </c>
      <c r="B3" s="2">
        <v>147.921480672836</v>
      </c>
      <c r="C3" s="2">
        <v>-9180.7096814296801</v>
      </c>
    </row>
    <row r="4" spans="1:6" ht="19" x14ac:dyDescent="0.25">
      <c r="A4">
        <v>30</v>
      </c>
      <c r="B4" s="2">
        <v>148.83288506837999</v>
      </c>
      <c r="C4" s="2">
        <v>-9179.1996814296799</v>
      </c>
    </row>
    <row r="5" spans="1:6" ht="19" x14ac:dyDescent="0.25">
      <c r="A5">
        <v>40</v>
      </c>
      <c r="B5" s="2">
        <v>148.83288506837999</v>
      </c>
      <c r="C5" s="2">
        <v>-9179.1996814296799</v>
      </c>
      <c r="F5">
        <f>ABS(B3-B2)</f>
        <v>3.7653515396750095</v>
      </c>
    </row>
    <row r="6" spans="1:6" ht="19" x14ac:dyDescent="0.25">
      <c r="A6">
        <v>50</v>
      </c>
      <c r="B6" s="2">
        <v>148.83288506837999</v>
      </c>
      <c r="C6" s="2">
        <v>-9179.1996814296799</v>
      </c>
      <c r="F6">
        <f>F5/B2</f>
        <v>2.4823193185284583E-2</v>
      </c>
    </row>
    <row r="7" spans="1:6" ht="19" x14ac:dyDescent="0.25">
      <c r="A7">
        <v>60</v>
      </c>
      <c r="B7" s="2">
        <v>148.03665762048001</v>
      </c>
      <c r="C7" s="2">
        <v>-9180.5561680080009</v>
      </c>
      <c r="F7">
        <f>F6*100</f>
        <v>2.4823193185284582</v>
      </c>
    </row>
    <row r="8" spans="1:6" ht="19" x14ac:dyDescent="0.25">
      <c r="A8">
        <v>70</v>
      </c>
      <c r="B8" s="2">
        <v>145.299856983777</v>
      </c>
      <c r="C8" s="2">
        <v>-9184.5519036518999</v>
      </c>
    </row>
    <row r="9" spans="1:6" ht="19" x14ac:dyDescent="0.25">
      <c r="A9">
        <v>80</v>
      </c>
      <c r="B9" s="2">
        <v>128.862204827683</v>
      </c>
      <c r="C9" s="2">
        <v>-9193.3860112169095</v>
      </c>
    </row>
    <row r="10" spans="1:6" ht="19" x14ac:dyDescent="0.25">
      <c r="A10">
        <v>90</v>
      </c>
      <c r="B10" s="2">
        <v>129.71324427999301</v>
      </c>
      <c r="C10" s="2">
        <v>-9191.3270633917891</v>
      </c>
    </row>
    <row r="11" spans="1:6" ht="19" x14ac:dyDescent="0.25">
      <c r="A11">
        <v>100</v>
      </c>
      <c r="B11" s="2">
        <v>126.811122900038</v>
      </c>
      <c r="C11" s="2">
        <v>-9188.1681310740405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7F61A-E92B-B944-8A50-A1A5561609EC}">
  <dimension ref="A1:I30"/>
  <sheetViews>
    <sheetView zoomScale="140" workbookViewId="0">
      <selection activeCell="A15" sqref="A1:F26"/>
    </sheetView>
  </sheetViews>
  <sheetFormatPr baseColWidth="10" defaultRowHeight="16" x14ac:dyDescent="0.2"/>
  <cols>
    <col min="1" max="16384" width="10.83203125" style="1"/>
  </cols>
  <sheetData>
    <row r="1" spans="1:6" x14ac:dyDescent="0.2">
      <c r="A1" s="1" t="s">
        <v>55</v>
      </c>
      <c r="B1" s="1" t="s">
        <v>56</v>
      </c>
      <c r="C1" s="1" t="s">
        <v>64</v>
      </c>
      <c r="D1" s="1" t="s">
        <v>59</v>
      </c>
      <c r="E1" s="1" t="s">
        <v>56</v>
      </c>
      <c r="F1" s="1" t="s">
        <v>64</v>
      </c>
    </row>
    <row r="2" spans="1:6" ht="19" x14ac:dyDescent="0.25">
      <c r="A2" s="1">
        <v>0</v>
      </c>
      <c r="B2" s="14">
        <v>-5332.7096814296801</v>
      </c>
      <c r="C2" s="14">
        <v>-5287.5763480963496</v>
      </c>
      <c r="D2" s="1">
        <v>0</v>
      </c>
      <c r="E2" s="14">
        <v>-5356.9096814296799</v>
      </c>
      <c r="F2" s="14">
        <v>-5332.7263480963502</v>
      </c>
    </row>
    <row r="3" spans="1:6" ht="19" x14ac:dyDescent="0.25">
      <c r="A3" s="1">
        <v>5</v>
      </c>
      <c r="B3" s="14">
        <v>-5762.7096814296801</v>
      </c>
      <c r="C3" s="14">
        <v>-5717.5763480963496</v>
      </c>
      <c r="D3" s="1">
        <v>1</v>
      </c>
      <c r="E3" s="14">
        <v>-6855.9096814296799</v>
      </c>
      <c r="F3" s="14">
        <v>-6831.7263480963502</v>
      </c>
    </row>
    <row r="4" spans="1:6" ht="19" x14ac:dyDescent="0.25">
      <c r="A4" s="1">
        <v>10</v>
      </c>
      <c r="B4" s="14">
        <v>-6192.7096814296801</v>
      </c>
      <c r="C4" s="14">
        <v>-6147.5763480963496</v>
      </c>
      <c r="D4" s="1">
        <v>2</v>
      </c>
      <c r="E4" s="14">
        <v>-8254.9096814296809</v>
      </c>
      <c r="F4" s="14">
        <v>-8233.7263480963502</v>
      </c>
    </row>
    <row r="5" spans="1:6" ht="19" x14ac:dyDescent="0.25">
      <c r="A5" s="1">
        <v>15</v>
      </c>
      <c r="B5" s="14">
        <v>-6622.7096814296801</v>
      </c>
      <c r="C5" s="14">
        <v>-6577.5763480963496</v>
      </c>
      <c r="D5" s="1">
        <v>3</v>
      </c>
      <c r="E5" s="14">
        <v>-9352.1596814296809</v>
      </c>
      <c r="F5" s="14">
        <v>-9349.7263480963502</v>
      </c>
    </row>
    <row r="6" spans="1:6" ht="19" x14ac:dyDescent="0.25">
      <c r="A6" s="1">
        <v>20</v>
      </c>
      <c r="B6" s="14">
        <v>-7052.7096814296801</v>
      </c>
      <c r="C6" s="14">
        <v>-7007.5763480963496</v>
      </c>
      <c r="D6" s="1">
        <v>4</v>
      </c>
      <c r="E6" s="14">
        <v>-10013.409681429601</v>
      </c>
      <c r="F6" s="14">
        <v>-10020.726348096299</v>
      </c>
    </row>
    <row r="7" spans="1:6" ht="19" x14ac:dyDescent="0.25">
      <c r="A7" s="1">
        <v>25</v>
      </c>
      <c r="B7" s="14">
        <v>-7477.7096814296801</v>
      </c>
      <c r="C7" s="14">
        <v>-7432.5763480963496</v>
      </c>
      <c r="D7" s="1">
        <v>5</v>
      </c>
      <c r="E7" s="14">
        <v>-10521.909681429601</v>
      </c>
      <c r="F7" s="14">
        <v>-10537.226348096299</v>
      </c>
    </row>
    <row r="8" spans="1:6" ht="19" x14ac:dyDescent="0.25">
      <c r="A8" s="1">
        <v>30</v>
      </c>
      <c r="B8" s="14">
        <v>-7885.7096814296801</v>
      </c>
      <c r="C8" s="14">
        <v>-7840.5763480963496</v>
      </c>
      <c r="D8" s="1">
        <v>6</v>
      </c>
      <c r="E8" s="14">
        <v>-10947.909681429601</v>
      </c>
      <c r="F8" s="14">
        <v>-10971.226348096299</v>
      </c>
    </row>
    <row r="9" spans="1:6" ht="19" x14ac:dyDescent="0.25">
      <c r="A9" s="1">
        <v>35</v>
      </c>
      <c r="B9" s="14">
        <v>-8287.7096814296801</v>
      </c>
      <c r="C9" s="14">
        <v>-8242.5763480963506</v>
      </c>
      <c r="D9" s="1">
        <v>7</v>
      </c>
      <c r="E9" s="14">
        <v>-11320.909681429601</v>
      </c>
      <c r="F9" s="14">
        <v>-11347.226348096299</v>
      </c>
    </row>
    <row r="10" spans="1:6" ht="19" x14ac:dyDescent="0.25">
      <c r="A10" s="1">
        <v>40</v>
      </c>
      <c r="B10" s="14">
        <v>-8632.0430147630104</v>
      </c>
      <c r="C10" s="14">
        <v>-8615.5763480963506</v>
      </c>
      <c r="D10" s="1">
        <v>8</v>
      </c>
      <c r="E10" s="14">
        <v>-11675.909681429601</v>
      </c>
      <c r="F10" s="14">
        <v>-11702.226348096299</v>
      </c>
    </row>
    <row r="11" spans="1:6" ht="19" x14ac:dyDescent="0.25">
      <c r="A11" s="1">
        <v>45</v>
      </c>
      <c r="B11" s="14">
        <v>-8868.0430147630104</v>
      </c>
      <c r="C11" s="14">
        <v>-8911.9096814296809</v>
      </c>
      <c r="D11" s="1">
        <v>9</v>
      </c>
      <c r="E11" s="14">
        <v>-12029.909681429601</v>
      </c>
      <c r="F11" s="14">
        <v>-12056.226348096299</v>
      </c>
    </row>
    <row r="12" spans="1:6" ht="19" x14ac:dyDescent="0.25">
      <c r="A12" s="1">
        <v>50</v>
      </c>
      <c r="B12" s="14">
        <v>-8967.0430147630104</v>
      </c>
      <c r="C12" s="14">
        <v>-8991.5763480963506</v>
      </c>
      <c r="D12" s="1">
        <v>10</v>
      </c>
      <c r="E12" s="14">
        <v>-12218.909681429601</v>
      </c>
      <c r="F12" s="14">
        <v>-12343.726348096299</v>
      </c>
    </row>
    <row r="13" spans="1:6" ht="19" x14ac:dyDescent="0.25">
      <c r="A13" s="1">
        <v>55</v>
      </c>
      <c r="B13" s="14">
        <v>-8967.0430147630104</v>
      </c>
      <c r="C13" s="14">
        <v>-8991.5763480963506</v>
      </c>
      <c r="D13" s="1">
        <v>11</v>
      </c>
      <c r="E13" s="14">
        <v>-12276.409681429601</v>
      </c>
      <c r="F13" s="14">
        <v>-12412.226348096299</v>
      </c>
    </row>
    <row r="14" spans="1:6" ht="19" x14ac:dyDescent="0.25">
      <c r="A14" s="1">
        <v>60</v>
      </c>
      <c r="B14" s="14">
        <v>-8967.0430147630104</v>
      </c>
      <c r="C14" s="14">
        <v>-8991.5763480963506</v>
      </c>
      <c r="D14" s="1">
        <v>12</v>
      </c>
      <c r="E14" s="14">
        <v>-12315.409681429601</v>
      </c>
      <c r="F14" s="14">
        <v>-12448.226348096299</v>
      </c>
    </row>
    <row r="15" spans="1:6" ht="19" x14ac:dyDescent="0.25">
      <c r="A15" s="1">
        <v>65</v>
      </c>
      <c r="B15" s="14">
        <v>-8967.0430147630104</v>
      </c>
      <c r="C15" s="14">
        <v>-8991.5763480963506</v>
      </c>
      <c r="D15" s="1">
        <v>13</v>
      </c>
      <c r="E15" s="14">
        <v>-12352.409681429601</v>
      </c>
      <c r="F15" s="14">
        <v>-12484.226348096299</v>
      </c>
    </row>
    <row r="16" spans="1:6" ht="19" x14ac:dyDescent="0.25">
      <c r="A16" s="1">
        <v>70</v>
      </c>
      <c r="B16" s="14">
        <v>-8967.0430147630104</v>
      </c>
      <c r="C16" s="14">
        <v>-8991.5763480963506</v>
      </c>
      <c r="D16" s="1">
        <v>14</v>
      </c>
      <c r="E16" s="14">
        <v>-12386.409681429601</v>
      </c>
      <c r="F16" s="14">
        <v>-12518.226348096299</v>
      </c>
    </row>
    <row r="17" spans="1:9" ht="19" x14ac:dyDescent="0.25">
      <c r="A17" s="1">
        <v>75</v>
      </c>
      <c r="B17" s="14">
        <v>-8967.0430147630104</v>
      </c>
      <c r="C17" s="14">
        <v>-8991.5763480963506</v>
      </c>
      <c r="D17" s="1">
        <v>15</v>
      </c>
      <c r="E17" s="14">
        <v>-12414.409681429601</v>
      </c>
      <c r="F17" s="14">
        <v>-12546.226348096299</v>
      </c>
    </row>
    <row r="18" spans="1:9" ht="19" x14ac:dyDescent="0.25">
      <c r="A18" s="1">
        <v>80</v>
      </c>
      <c r="B18" s="14">
        <v>-8967.0430147630104</v>
      </c>
      <c r="C18" s="14">
        <v>-8991.5763480963506</v>
      </c>
      <c r="D18" s="1">
        <v>16</v>
      </c>
      <c r="E18" s="14">
        <v>-12431.409681429601</v>
      </c>
      <c r="F18" s="14">
        <v>-12571.226348096299</v>
      </c>
    </row>
    <row r="19" spans="1:9" ht="19" x14ac:dyDescent="0.25">
      <c r="A19" s="1">
        <v>85</v>
      </c>
      <c r="B19" s="14">
        <v>-8967.0430147630104</v>
      </c>
      <c r="C19" s="14">
        <v>-8991.5763480963506</v>
      </c>
      <c r="D19" s="1">
        <v>17</v>
      </c>
      <c r="E19" s="14">
        <v>-12443.909681429601</v>
      </c>
      <c r="F19" s="14">
        <v>-12586.726348096299</v>
      </c>
    </row>
    <row r="20" spans="1:9" ht="19" x14ac:dyDescent="0.25">
      <c r="A20" s="1">
        <v>90</v>
      </c>
      <c r="B20" s="14">
        <v>-8967.0430147630104</v>
      </c>
      <c r="C20" s="14">
        <v>-8991.5763480963506</v>
      </c>
      <c r="D20" s="1">
        <v>18</v>
      </c>
      <c r="E20" s="14">
        <v>-12448.909681429601</v>
      </c>
      <c r="F20" s="14">
        <v>-12591.726348096299</v>
      </c>
    </row>
    <row r="21" spans="1:9" ht="19" x14ac:dyDescent="0.25">
      <c r="A21" s="1">
        <v>95</v>
      </c>
      <c r="B21" s="14">
        <v>-8967</v>
      </c>
      <c r="C21" s="14">
        <v>-8991.5763480963506</v>
      </c>
      <c r="D21" s="1">
        <v>19</v>
      </c>
      <c r="E21" s="14">
        <v>-12450.909681429601</v>
      </c>
      <c r="F21" s="14">
        <v>-12593.726348096299</v>
      </c>
    </row>
    <row r="22" spans="1:9" ht="19" x14ac:dyDescent="0.25">
      <c r="A22" s="1">
        <v>100</v>
      </c>
      <c r="B22" s="14">
        <v>-8967</v>
      </c>
      <c r="C22" s="14">
        <v>-8991.5763480963506</v>
      </c>
      <c r="D22" s="1">
        <v>20</v>
      </c>
      <c r="E22" s="14">
        <v>-12452.909681429601</v>
      </c>
      <c r="F22" s="14">
        <v>-12595.726348096299</v>
      </c>
    </row>
    <row r="23" spans="1:9" x14ac:dyDescent="0.2">
      <c r="A23" s="1" t="s">
        <v>57</v>
      </c>
      <c r="B23" s="1">
        <f>STDEV(B2:B22)</f>
        <v>1217.1306431174323</v>
      </c>
      <c r="C23" s="1">
        <f>STDEV(C2:C22)</f>
        <v>1246.8839887822046</v>
      </c>
      <c r="D23" s="1" t="s">
        <v>57</v>
      </c>
      <c r="E23" s="1">
        <f>STDEV(E2:E22)</f>
        <v>2037.5224690551681</v>
      </c>
      <c r="F23" s="1">
        <f>STDEV(F2:F22)</f>
        <v>2094.3219635253481</v>
      </c>
    </row>
    <row r="24" spans="1:9" x14ac:dyDescent="0.2">
      <c r="A24" s="1" t="s">
        <v>58</v>
      </c>
      <c r="B24" s="1">
        <f>ABS(MAX(B2:B22)-MIN(B2:B22))</f>
        <v>3634.3333333333303</v>
      </c>
      <c r="C24" s="1">
        <f>ABS(MAX(C2:C22)-MIN(C2:C22))</f>
        <v>3704.0000000000009</v>
      </c>
      <c r="D24" s="1" t="s">
        <v>58</v>
      </c>
      <c r="E24" s="1">
        <f>ABS(MAX(E2:E22)-MIN(E2:E22))</f>
        <v>7095.9999999999209</v>
      </c>
      <c r="F24" s="1">
        <f>ABS(MAX(F2:F22)-MIN(F2:F22))</f>
        <v>7262.9999999999491</v>
      </c>
    </row>
    <row r="25" spans="1:9" x14ac:dyDescent="0.2">
      <c r="A25" s="1" t="s">
        <v>65</v>
      </c>
      <c r="B25" s="1">
        <f>MIN(B2:B22)</f>
        <v>-8967.0430147630104</v>
      </c>
      <c r="C25" s="1">
        <f t="shared" ref="C25:F25" si="0">MIN(C2:C22)</f>
        <v>-8991.5763480963506</v>
      </c>
      <c r="D25" s="1" t="s">
        <v>65</v>
      </c>
      <c r="E25" s="1">
        <f t="shared" si="0"/>
        <v>-12452.909681429601</v>
      </c>
      <c r="F25" s="1">
        <f t="shared" si="0"/>
        <v>-12595.726348096299</v>
      </c>
    </row>
    <row r="26" spans="1:9" x14ac:dyDescent="0.2">
      <c r="A26" s="1" t="s">
        <v>66</v>
      </c>
      <c r="B26" s="1">
        <f>MAX(B2:B22)</f>
        <v>-5332.7096814296801</v>
      </c>
      <c r="C26" s="1">
        <f t="shared" ref="C26:F26" si="1">MAX(C2:C22)</f>
        <v>-5287.5763480963496</v>
      </c>
      <c r="D26" s="1" t="s">
        <v>66</v>
      </c>
      <c r="E26" s="1">
        <f t="shared" si="1"/>
        <v>-5356.9096814296799</v>
      </c>
      <c r="F26" s="1">
        <f t="shared" si="1"/>
        <v>-5332.7263480963502</v>
      </c>
    </row>
    <row r="28" spans="1:9" x14ac:dyDescent="0.2">
      <c r="B28" s="1" t="s">
        <v>60</v>
      </c>
      <c r="C28" s="1" t="s">
        <v>61</v>
      </c>
      <c r="D28" s="1" t="s">
        <v>62</v>
      </c>
      <c r="E28" s="1" t="s">
        <v>63</v>
      </c>
      <c r="F28" s="1" t="s">
        <v>67</v>
      </c>
      <c r="G28" s="1" t="s">
        <v>68</v>
      </c>
      <c r="H28" s="1" t="s">
        <v>69</v>
      </c>
      <c r="I28" s="1" t="s">
        <v>70</v>
      </c>
    </row>
    <row r="29" spans="1:9" x14ac:dyDescent="0.2">
      <c r="A29" s="1" t="s">
        <v>55</v>
      </c>
      <c r="B29" s="1">
        <f>B24</f>
        <v>3634.3333333333303</v>
      </c>
      <c r="C29" s="1">
        <f>C24</f>
        <v>3704.0000000000009</v>
      </c>
      <c r="D29" s="1">
        <f>B23</f>
        <v>1217.1306431174323</v>
      </c>
      <c r="E29" s="1">
        <f>C23</f>
        <v>1246.8839887822046</v>
      </c>
      <c r="F29" s="1">
        <f>B25</f>
        <v>-8967.0430147630104</v>
      </c>
      <c r="G29" s="1">
        <f>C25</f>
        <v>-8991.5763480963506</v>
      </c>
      <c r="H29" s="1">
        <f>B26</f>
        <v>-5332.7096814296801</v>
      </c>
      <c r="I29" s="1">
        <f>C26</f>
        <v>-5287.5763480963496</v>
      </c>
    </row>
    <row r="30" spans="1:9" x14ac:dyDescent="0.2">
      <c r="A30" s="1" t="s">
        <v>59</v>
      </c>
      <c r="B30" s="1">
        <f>E24</f>
        <v>7095.9999999999209</v>
      </c>
      <c r="C30" s="1">
        <f>F24</f>
        <v>7262.9999999999491</v>
      </c>
      <c r="D30" s="1">
        <f>E23</f>
        <v>2037.5224690551681</v>
      </c>
      <c r="E30" s="1">
        <f>F23</f>
        <v>2094.3219635253481</v>
      </c>
      <c r="F30" s="1">
        <f>E25</f>
        <v>-12452.909681429601</v>
      </c>
      <c r="G30" s="1">
        <f>F25</f>
        <v>-12595.726348096299</v>
      </c>
      <c r="H30" s="1">
        <f>E26</f>
        <v>-5356.9096814296799</v>
      </c>
      <c r="I30" s="1">
        <f>F26</f>
        <v>-5332.7263480963502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7813-69CC-4747-A3B2-F14B6E0BDE89}">
  <dimension ref="A4:R34"/>
  <sheetViews>
    <sheetView workbookViewId="0">
      <selection activeCell="D14" sqref="D14:N14"/>
    </sheetView>
  </sheetViews>
  <sheetFormatPr baseColWidth="10" defaultRowHeight="16" x14ac:dyDescent="0.2"/>
  <cols>
    <col min="1" max="16384" width="10.83203125" style="4"/>
  </cols>
  <sheetData>
    <row r="4" spans="1:18" x14ac:dyDescent="0.2">
      <c r="A4" s="5"/>
      <c r="B4" s="6"/>
      <c r="C4" s="6"/>
      <c r="D4" s="6"/>
      <c r="E4" s="6"/>
      <c r="F4" s="7"/>
      <c r="G4" s="37" t="s">
        <v>4</v>
      </c>
      <c r="H4" s="37"/>
      <c r="I4" s="37"/>
      <c r="J4" s="37"/>
      <c r="K4" s="38" t="s">
        <v>72</v>
      </c>
      <c r="L4" s="37"/>
      <c r="M4" s="37"/>
      <c r="N4" s="39"/>
      <c r="O4" s="38" t="s">
        <v>8</v>
      </c>
      <c r="P4" s="37"/>
      <c r="Q4" s="37"/>
      <c r="R4" s="39"/>
    </row>
    <row r="5" spans="1:18" x14ac:dyDescent="0.2">
      <c r="A5" s="8" t="s">
        <v>71</v>
      </c>
      <c r="B5" s="4" t="s">
        <v>0</v>
      </c>
      <c r="C5" s="4" t="s">
        <v>1</v>
      </c>
      <c r="D5" s="4" t="s">
        <v>2</v>
      </c>
      <c r="E5" s="4" t="s">
        <v>3</v>
      </c>
      <c r="F5" s="9" t="s">
        <v>9</v>
      </c>
      <c r="G5" s="4" t="s">
        <v>5</v>
      </c>
      <c r="H5" s="4" t="s">
        <v>6</v>
      </c>
      <c r="I5" s="4" t="s">
        <v>7</v>
      </c>
      <c r="J5" s="4" t="s">
        <v>10</v>
      </c>
      <c r="K5" s="8" t="s">
        <v>5</v>
      </c>
      <c r="L5" s="4" t="s">
        <v>6</v>
      </c>
      <c r="M5" s="4" t="s">
        <v>7</v>
      </c>
      <c r="N5" s="9" t="s">
        <v>10</v>
      </c>
      <c r="O5" s="11" t="s">
        <v>5</v>
      </c>
      <c r="P5" s="12" t="s">
        <v>6</v>
      </c>
      <c r="Q5" s="12" t="s">
        <v>7</v>
      </c>
      <c r="R5" s="13" t="s">
        <v>10</v>
      </c>
    </row>
    <row r="6" spans="1:18" ht="19" x14ac:dyDescent="0.25">
      <c r="A6" s="8" cm="1">
        <f t="array" ref="A6:A24">_xlfn.SEQUENCE(19)</f>
        <v>1</v>
      </c>
      <c r="B6" s="4">
        <v>3</v>
      </c>
      <c r="C6" s="4">
        <v>15</v>
      </c>
      <c r="D6" s="4">
        <v>5</v>
      </c>
      <c r="E6" s="4">
        <v>30</v>
      </c>
      <c r="F6" s="9">
        <v>20</v>
      </c>
      <c r="K6" s="8">
        <v>6</v>
      </c>
      <c r="L6" s="14">
        <v>-8403.5451703886702</v>
      </c>
      <c r="M6" s="10">
        <v>0</v>
      </c>
      <c r="N6" s="22">
        <v>85.148561716079698</v>
      </c>
      <c r="O6" s="8"/>
      <c r="R6" s="9"/>
    </row>
    <row r="7" spans="1:18" ht="19" x14ac:dyDescent="0.25">
      <c r="A7" s="8">
        <v>2</v>
      </c>
      <c r="B7" s="4">
        <v>3</v>
      </c>
      <c r="C7" s="4">
        <v>15</v>
      </c>
      <c r="D7" s="4">
        <v>5</v>
      </c>
      <c r="E7" s="4">
        <v>30</v>
      </c>
      <c r="F7" s="9">
        <v>40</v>
      </c>
      <c r="K7" s="8">
        <v>6</v>
      </c>
      <c r="L7" s="14">
        <v>-9883.3223544473603</v>
      </c>
      <c r="M7" s="10">
        <v>0</v>
      </c>
      <c r="N7" s="22">
        <v>144.63583302497801</v>
      </c>
      <c r="O7" s="8"/>
      <c r="R7" s="9"/>
    </row>
    <row r="8" spans="1:18" ht="19" x14ac:dyDescent="0.25">
      <c r="A8" s="8">
        <v>3</v>
      </c>
      <c r="B8" s="4">
        <v>3</v>
      </c>
      <c r="C8" s="4">
        <v>15</v>
      </c>
      <c r="D8" s="4">
        <v>5</v>
      </c>
      <c r="E8" s="4">
        <v>30</v>
      </c>
      <c r="F8" s="9">
        <v>60</v>
      </c>
      <c r="K8" s="8">
        <v>6</v>
      </c>
      <c r="L8" s="14">
        <v>-9891.0274350528707</v>
      </c>
      <c r="M8" s="10">
        <v>0</v>
      </c>
      <c r="N8" s="22">
        <v>215.736397266387</v>
      </c>
      <c r="O8" s="8"/>
      <c r="R8" s="9"/>
    </row>
    <row r="9" spans="1:18" ht="19" x14ac:dyDescent="0.25">
      <c r="A9" s="8">
        <v>4</v>
      </c>
      <c r="B9" s="4">
        <v>3</v>
      </c>
      <c r="C9" s="4">
        <v>15</v>
      </c>
      <c r="D9" s="4">
        <v>5</v>
      </c>
      <c r="E9" s="4">
        <v>30</v>
      </c>
      <c r="F9" s="9">
        <v>80</v>
      </c>
      <c r="K9" s="8">
        <v>6</v>
      </c>
      <c r="L9" s="14">
        <v>-9905.85012248559</v>
      </c>
      <c r="M9" s="10">
        <v>0</v>
      </c>
      <c r="N9" s="22">
        <v>291.62217760086003</v>
      </c>
      <c r="O9" s="8"/>
      <c r="R9" s="9"/>
    </row>
    <row r="10" spans="1:18" ht="19" x14ac:dyDescent="0.25">
      <c r="A10" s="8">
        <v>5</v>
      </c>
      <c r="B10" s="4">
        <v>3</v>
      </c>
      <c r="C10" s="4">
        <v>15</v>
      </c>
      <c r="D10" s="4">
        <v>5</v>
      </c>
      <c r="E10" s="4">
        <v>60</v>
      </c>
      <c r="F10" s="9">
        <v>20</v>
      </c>
      <c r="K10" s="8">
        <v>2</v>
      </c>
      <c r="L10" s="14">
        <v>-11837.152349317301</v>
      </c>
      <c r="M10" s="10">
        <v>0</v>
      </c>
      <c r="N10" s="22">
        <v>35.648735761642399</v>
      </c>
      <c r="O10" s="8"/>
      <c r="R10" s="9"/>
    </row>
    <row r="11" spans="1:18" ht="19" x14ac:dyDescent="0.25">
      <c r="A11" s="26">
        <v>6</v>
      </c>
      <c r="B11" s="23">
        <v>3</v>
      </c>
      <c r="C11" s="23">
        <v>15</v>
      </c>
      <c r="D11" s="23">
        <v>5</v>
      </c>
      <c r="E11" s="23">
        <v>75</v>
      </c>
      <c r="F11" s="24">
        <v>20</v>
      </c>
      <c r="G11" s="25"/>
      <c r="H11" s="25"/>
      <c r="I11" s="25"/>
      <c r="J11" s="25"/>
      <c r="K11" s="26">
        <v>6</v>
      </c>
      <c r="L11" s="27">
        <v>-10687.5067125072</v>
      </c>
      <c r="M11" s="28">
        <v>0</v>
      </c>
      <c r="N11" s="29">
        <v>155.22633838653499</v>
      </c>
      <c r="O11" s="8"/>
      <c r="R11" s="9"/>
    </row>
    <row r="12" spans="1:18" ht="19" x14ac:dyDescent="0.25">
      <c r="A12" s="8">
        <v>7</v>
      </c>
      <c r="B12" s="4">
        <v>3</v>
      </c>
      <c r="C12" s="4">
        <v>15</v>
      </c>
      <c r="D12" s="4">
        <v>5</v>
      </c>
      <c r="E12" s="4">
        <v>90</v>
      </c>
      <c r="F12" s="9">
        <v>20</v>
      </c>
      <c r="K12" s="8">
        <v>7</v>
      </c>
      <c r="L12" s="14">
        <v>-18265.9587668965</v>
      </c>
      <c r="M12" s="10">
        <v>0</v>
      </c>
      <c r="N12" s="22">
        <v>2010.89133167266</v>
      </c>
      <c r="O12" s="8"/>
      <c r="R12" s="9"/>
    </row>
    <row r="13" spans="1:18" x14ac:dyDescent="0.2">
      <c r="A13" s="8">
        <v>8</v>
      </c>
      <c r="B13" s="4">
        <v>3</v>
      </c>
      <c r="C13" s="4">
        <v>15</v>
      </c>
      <c r="D13" s="4">
        <v>5</v>
      </c>
      <c r="E13" s="4">
        <v>120</v>
      </c>
      <c r="F13" s="9">
        <v>20</v>
      </c>
      <c r="K13" s="8"/>
      <c r="N13" s="9"/>
      <c r="O13" s="8"/>
      <c r="R13" s="9"/>
    </row>
    <row r="14" spans="1:18" ht="19" x14ac:dyDescent="0.25">
      <c r="A14" s="8">
        <v>9</v>
      </c>
      <c r="B14" s="4">
        <v>3</v>
      </c>
      <c r="C14" s="4">
        <v>15</v>
      </c>
      <c r="D14" s="4">
        <v>10</v>
      </c>
      <c r="E14" s="4">
        <v>30</v>
      </c>
      <c r="F14" s="9">
        <v>20</v>
      </c>
      <c r="K14" s="8">
        <v>30</v>
      </c>
      <c r="L14" s="14">
        <v>-12467.489263903501</v>
      </c>
      <c r="M14" s="10">
        <v>0</v>
      </c>
      <c r="N14" s="22">
        <v>744.98907947540204</v>
      </c>
      <c r="O14" s="8"/>
      <c r="R14" s="9"/>
    </row>
    <row r="15" spans="1:18" ht="19" x14ac:dyDescent="0.25">
      <c r="A15" s="8">
        <v>10</v>
      </c>
      <c r="B15" s="4">
        <v>3</v>
      </c>
      <c r="C15" s="4">
        <v>15</v>
      </c>
      <c r="D15" s="4">
        <v>15</v>
      </c>
      <c r="E15" s="4">
        <v>30</v>
      </c>
      <c r="F15" s="9">
        <v>20</v>
      </c>
      <c r="K15" s="8">
        <v>60</v>
      </c>
      <c r="L15" s="14">
        <v>-17650.523059484502</v>
      </c>
      <c r="M15" s="10">
        <v>0</v>
      </c>
      <c r="N15" s="22">
        <v>3488.2979791164398</v>
      </c>
      <c r="O15" s="8"/>
      <c r="R15" s="9"/>
    </row>
    <row r="16" spans="1:18" ht="19" x14ac:dyDescent="0.25">
      <c r="A16" s="8">
        <v>11</v>
      </c>
      <c r="B16" s="4">
        <v>3</v>
      </c>
      <c r="C16" s="4">
        <v>15</v>
      </c>
      <c r="D16" s="4">
        <v>20</v>
      </c>
      <c r="E16" s="4">
        <v>30</v>
      </c>
      <c r="F16" s="9">
        <v>20</v>
      </c>
      <c r="K16" s="8"/>
      <c r="L16" s="14"/>
      <c r="M16" s="10"/>
      <c r="N16" s="22"/>
      <c r="O16" s="8"/>
      <c r="R16" s="9"/>
    </row>
    <row r="17" spans="1:18" ht="19" x14ac:dyDescent="0.25">
      <c r="A17" s="8">
        <v>12</v>
      </c>
      <c r="B17" s="4">
        <v>3</v>
      </c>
      <c r="C17" s="4">
        <v>30</v>
      </c>
      <c r="D17" s="4">
        <v>5</v>
      </c>
      <c r="E17" s="4">
        <v>30</v>
      </c>
      <c r="F17" s="9">
        <v>20</v>
      </c>
      <c r="K17" s="8">
        <v>2</v>
      </c>
      <c r="L17" s="14">
        <v>-10238.870877733299</v>
      </c>
      <c r="M17" s="10">
        <v>0</v>
      </c>
      <c r="N17" s="22">
        <v>19.347317934036202</v>
      </c>
      <c r="O17" s="8"/>
      <c r="R17" s="9"/>
    </row>
    <row r="18" spans="1:18" ht="19" x14ac:dyDescent="0.25">
      <c r="A18" s="8">
        <v>13</v>
      </c>
      <c r="B18" s="4">
        <v>3</v>
      </c>
      <c r="C18" s="4">
        <v>45</v>
      </c>
      <c r="D18" s="4">
        <v>5</v>
      </c>
      <c r="E18" s="4">
        <v>30</v>
      </c>
      <c r="F18" s="9">
        <v>20</v>
      </c>
      <c r="K18" s="8">
        <v>2</v>
      </c>
      <c r="L18" s="14">
        <v>-10986.4136496836</v>
      </c>
      <c r="M18" s="10">
        <v>0</v>
      </c>
      <c r="N18" s="22">
        <v>20.0096065998077</v>
      </c>
      <c r="O18" s="8"/>
      <c r="R18" s="9"/>
    </row>
    <row r="19" spans="1:18" ht="19" x14ac:dyDescent="0.25">
      <c r="A19" s="8">
        <v>14</v>
      </c>
      <c r="B19" s="4">
        <v>3</v>
      </c>
      <c r="C19" s="4">
        <v>60</v>
      </c>
      <c r="D19" s="4">
        <v>5</v>
      </c>
      <c r="E19" s="4">
        <v>30</v>
      </c>
      <c r="F19" s="9">
        <v>20</v>
      </c>
      <c r="K19" s="8">
        <v>2</v>
      </c>
      <c r="L19" s="14">
        <v>-11002.0310286935</v>
      </c>
      <c r="M19" s="10">
        <v>0</v>
      </c>
      <c r="N19" s="22">
        <v>21.153036832809399</v>
      </c>
      <c r="O19" s="8"/>
      <c r="R19" s="9"/>
    </row>
    <row r="20" spans="1:18" ht="19" x14ac:dyDescent="0.25">
      <c r="A20" s="8">
        <v>15</v>
      </c>
      <c r="B20" s="4">
        <v>6</v>
      </c>
      <c r="C20" s="4">
        <v>15</v>
      </c>
      <c r="D20" s="4">
        <v>5</v>
      </c>
      <c r="E20" s="4">
        <v>30</v>
      </c>
      <c r="F20" s="9">
        <v>20</v>
      </c>
      <c r="K20" s="8">
        <v>6</v>
      </c>
      <c r="L20" s="14">
        <v>-18602.0762666589</v>
      </c>
      <c r="M20" s="10">
        <v>0</v>
      </c>
      <c r="N20" s="22">
        <v>147.29358887672399</v>
      </c>
      <c r="O20" s="8"/>
      <c r="R20" s="9"/>
    </row>
    <row r="21" spans="1:18" ht="19" x14ac:dyDescent="0.25">
      <c r="A21" s="8">
        <v>16</v>
      </c>
      <c r="B21" s="4">
        <v>9</v>
      </c>
      <c r="C21" s="4">
        <v>15</v>
      </c>
      <c r="D21" s="4">
        <v>5</v>
      </c>
      <c r="E21" s="4">
        <v>30</v>
      </c>
      <c r="F21" s="9">
        <v>20</v>
      </c>
      <c r="K21" s="8">
        <v>6</v>
      </c>
      <c r="L21" s="14">
        <v>-38111.221945255304</v>
      </c>
      <c r="M21" s="10">
        <v>0</v>
      </c>
      <c r="N21" s="22">
        <v>572.77966189384404</v>
      </c>
      <c r="O21" s="8"/>
      <c r="R21" s="9"/>
    </row>
    <row r="22" spans="1:18" ht="19" x14ac:dyDescent="0.25">
      <c r="A22" s="8">
        <v>17</v>
      </c>
      <c r="B22" s="4">
        <v>12</v>
      </c>
      <c r="C22" s="4">
        <v>15</v>
      </c>
      <c r="D22" s="4">
        <v>5</v>
      </c>
      <c r="E22" s="4">
        <v>30</v>
      </c>
      <c r="F22" s="9">
        <v>20</v>
      </c>
      <c r="K22" s="8">
        <v>7</v>
      </c>
      <c r="L22" s="14">
        <v>-57784.510692829797</v>
      </c>
      <c r="M22" s="10">
        <v>0</v>
      </c>
      <c r="N22" s="22">
        <v>555.92233037948597</v>
      </c>
      <c r="O22" s="8"/>
      <c r="R22" s="9"/>
    </row>
    <row r="23" spans="1:18" x14ac:dyDescent="0.2">
      <c r="A23" s="8">
        <v>18</v>
      </c>
      <c r="B23" s="4">
        <v>6</v>
      </c>
      <c r="C23" s="4">
        <v>30</v>
      </c>
      <c r="D23" s="4">
        <v>10</v>
      </c>
      <c r="E23" s="4">
        <v>60</v>
      </c>
      <c r="F23" s="9">
        <v>40</v>
      </c>
      <c r="K23" s="8"/>
      <c r="M23" s="10"/>
      <c r="N23" s="9"/>
      <c r="O23" s="8"/>
      <c r="R23" s="9"/>
    </row>
    <row r="24" spans="1:18" x14ac:dyDescent="0.2">
      <c r="A24" s="8">
        <v>19</v>
      </c>
      <c r="B24" s="4">
        <v>9</v>
      </c>
      <c r="C24" s="4">
        <v>45</v>
      </c>
      <c r="D24" s="4">
        <v>15</v>
      </c>
      <c r="E24" s="4">
        <v>90</v>
      </c>
      <c r="F24" s="9">
        <v>60</v>
      </c>
      <c r="K24" s="8"/>
      <c r="M24" s="10"/>
      <c r="N24" s="9"/>
      <c r="O24" s="8"/>
      <c r="R24" s="9"/>
    </row>
    <row r="25" spans="1:18" x14ac:dyDescent="0.2">
      <c r="A25" s="20"/>
      <c r="B25" s="18">
        <v>12</v>
      </c>
      <c r="C25" s="18">
        <v>60</v>
      </c>
      <c r="D25" s="18">
        <v>20</v>
      </c>
      <c r="E25" s="18">
        <v>120</v>
      </c>
      <c r="F25" s="19">
        <v>80</v>
      </c>
      <c r="G25" s="18"/>
      <c r="H25" s="18"/>
      <c r="I25" s="18"/>
      <c r="J25" s="18"/>
      <c r="K25" s="20"/>
      <c r="L25" s="18"/>
      <c r="M25" s="21"/>
      <c r="N25" s="19"/>
      <c r="O25" s="20"/>
      <c r="P25" s="18"/>
      <c r="Q25" s="18"/>
      <c r="R25" s="19"/>
    </row>
    <row r="27" spans="1:18" ht="19" x14ac:dyDescent="0.25">
      <c r="J27" s="4" t="s">
        <v>73</v>
      </c>
      <c r="K27" s="8">
        <v>6</v>
      </c>
      <c r="L27" s="2">
        <v>-15480.7428959385</v>
      </c>
      <c r="M27" s="10">
        <v>0</v>
      </c>
      <c r="N27" s="2">
        <v>808.83928513526905</v>
      </c>
    </row>
    <row r="29" spans="1:18" x14ac:dyDescent="0.2">
      <c r="C29" s="4" t="s">
        <v>4</v>
      </c>
      <c r="D29" s="4" t="s">
        <v>72</v>
      </c>
      <c r="E29" s="4" t="s">
        <v>8</v>
      </c>
    </row>
    <row r="30" spans="1:18" x14ac:dyDescent="0.2">
      <c r="B30" s="4" t="s">
        <v>0</v>
      </c>
    </row>
    <row r="31" spans="1:18" x14ac:dyDescent="0.2">
      <c r="B31" s="4" t="s">
        <v>1</v>
      </c>
    </row>
    <row r="32" spans="1:18" x14ac:dyDescent="0.2">
      <c r="B32" s="4" t="s">
        <v>2</v>
      </c>
    </row>
    <row r="33" spans="2:2" x14ac:dyDescent="0.2">
      <c r="B33" s="4" t="s">
        <v>3</v>
      </c>
    </row>
    <row r="34" spans="2:2" x14ac:dyDescent="0.2">
      <c r="B34" s="4" t="s">
        <v>9</v>
      </c>
    </row>
  </sheetData>
  <mergeCells count="3">
    <mergeCell ref="G4:J4"/>
    <mergeCell ref="K4:N4"/>
    <mergeCell ref="O4:R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F6CC-DE92-6549-B1DE-E7182FD227F1}">
  <dimension ref="A1:R18"/>
  <sheetViews>
    <sheetView tabSelected="1" workbookViewId="0">
      <selection sqref="A1:R19"/>
    </sheetView>
  </sheetViews>
  <sheetFormatPr baseColWidth="10" defaultRowHeight="16" x14ac:dyDescent="0.2"/>
  <cols>
    <col min="1" max="1" width="4.6640625" style="3" bestFit="1" customWidth="1"/>
    <col min="2" max="4" width="3.1640625" style="3" bestFit="1" customWidth="1"/>
    <col min="5" max="5" width="4.1640625" style="3" bestFit="1" customWidth="1"/>
    <col min="6" max="6" width="7" style="3" bestFit="1" customWidth="1"/>
    <col min="7" max="7" width="7.6640625" style="3" bestFit="1" customWidth="1"/>
    <col min="8" max="8" width="4.1640625" style="3" bestFit="1" customWidth="1"/>
    <col min="9" max="9" width="4.5" style="3" bestFit="1" customWidth="1"/>
    <col min="10" max="10" width="9" style="3" bestFit="1" customWidth="1"/>
    <col min="11" max="11" width="7.6640625" style="3" bestFit="1" customWidth="1"/>
    <col min="12" max="12" width="9.33203125" style="3" bestFit="1" customWidth="1"/>
    <col min="13" max="13" width="4.5" style="3" bestFit="1" customWidth="1"/>
    <col min="14" max="14" width="9" style="3" bestFit="1" customWidth="1"/>
    <col min="15" max="15" width="7.6640625" style="3" bestFit="1" customWidth="1"/>
    <col min="16" max="16" width="4.1640625" style="3" bestFit="1" customWidth="1"/>
    <col min="17" max="17" width="4.5" style="3" bestFit="1" customWidth="1"/>
    <col min="18" max="18" width="9" style="3" bestFit="1" customWidth="1"/>
    <col min="19" max="16384" width="10.83203125" style="3"/>
  </cols>
  <sheetData>
    <row r="1" spans="1:18" x14ac:dyDescent="0.2">
      <c r="A1" s="5"/>
      <c r="B1" s="6"/>
      <c r="C1" s="6"/>
      <c r="D1" s="6"/>
      <c r="E1" s="6"/>
      <c r="F1" s="6"/>
      <c r="G1" s="37" t="s">
        <v>4</v>
      </c>
      <c r="H1" s="37"/>
      <c r="I1" s="37"/>
      <c r="J1" s="37"/>
      <c r="K1" s="38" t="s">
        <v>72</v>
      </c>
      <c r="L1" s="37"/>
      <c r="M1" s="37"/>
      <c r="N1" s="39"/>
      <c r="O1" s="38" t="s">
        <v>8</v>
      </c>
      <c r="P1" s="37"/>
      <c r="Q1" s="37"/>
      <c r="R1" s="39"/>
    </row>
    <row r="2" spans="1:18" x14ac:dyDescent="0.2">
      <c r="A2" s="8" t="s">
        <v>71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9</v>
      </c>
      <c r="G2" s="4" t="s">
        <v>74</v>
      </c>
      <c r="H2" s="4" t="s">
        <v>6</v>
      </c>
      <c r="I2" s="4" t="s">
        <v>7</v>
      </c>
      <c r="J2" s="4" t="s">
        <v>10</v>
      </c>
      <c r="K2" s="8" t="s">
        <v>74</v>
      </c>
      <c r="L2" s="4" t="s">
        <v>6</v>
      </c>
      <c r="M2" s="4" t="s">
        <v>7</v>
      </c>
      <c r="N2" s="9" t="s">
        <v>10</v>
      </c>
      <c r="O2" s="8" t="s">
        <v>74</v>
      </c>
      <c r="P2" s="12" t="s">
        <v>6</v>
      </c>
      <c r="Q2" s="12" t="s">
        <v>7</v>
      </c>
      <c r="R2" s="13" t="s">
        <v>10</v>
      </c>
    </row>
    <row r="3" spans="1:18" x14ac:dyDescent="0.2">
      <c r="A3" s="8" cm="1">
        <f t="array" ref="A3:A18">_xlfn.SEQUENCE(16)</f>
        <v>1</v>
      </c>
      <c r="B3" s="4">
        <v>3</v>
      </c>
      <c r="C3" s="4">
        <v>15</v>
      </c>
      <c r="D3" s="4">
        <v>5</v>
      </c>
      <c r="E3" s="4">
        <v>30</v>
      </c>
      <c r="F3" s="4">
        <v>20</v>
      </c>
      <c r="G3" s="4"/>
      <c r="H3" s="32"/>
      <c r="I3" s="10"/>
      <c r="J3" s="32"/>
      <c r="K3" s="8">
        <v>8</v>
      </c>
      <c r="L3" s="30">
        <v>-9891.5263480963495</v>
      </c>
      <c r="M3" s="10">
        <v>0</v>
      </c>
      <c r="N3" s="31">
        <v>41.899501085281301</v>
      </c>
      <c r="O3" s="8"/>
      <c r="P3" s="4"/>
      <c r="Q3" s="4"/>
      <c r="R3" s="9"/>
    </row>
    <row r="4" spans="1:18" x14ac:dyDescent="0.2">
      <c r="A4" s="8">
        <v>2</v>
      </c>
      <c r="B4" s="4">
        <v>3</v>
      </c>
      <c r="C4" s="4">
        <v>15</v>
      </c>
      <c r="D4" s="4">
        <v>5</v>
      </c>
      <c r="E4" s="4">
        <v>30</v>
      </c>
      <c r="F4" s="4">
        <v>40</v>
      </c>
      <c r="G4" s="4"/>
      <c r="H4" s="32"/>
      <c r="I4" s="10"/>
      <c r="J4" s="32"/>
      <c r="K4" s="8">
        <v>8</v>
      </c>
      <c r="L4" s="30">
        <v>-9859.6815961879493</v>
      </c>
      <c r="M4" s="10">
        <v>0</v>
      </c>
      <c r="N4" s="31">
        <v>82.736517190933199</v>
      </c>
      <c r="O4" s="8"/>
      <c r="P4" s="4"/>
      <c r="Q4" s="4"/>
      <c r="R4" s="9"/>
    </row>
    <row r="5" spans="1:18" x14ac:dyDescent="0.2">
      <c r="A5" s="8">
        <v>3</v>
      </c>
      <c r="B5" s="4">
        <v>3</v>
      </c>
      <c r="C5" s="4">
        <v>15</v>
      </c>
      <c r="D5" s="4">
        <v>5</v>
      </c>
      <c r="E5" s="4">
        <v>30</v>
      </c>
      <c r="F5" s="4">
        <v>60</v>
      </c>
      <c r="G5" s="4"/>
      <c r="H5" s="32"/>
      <c r="I5" s="10"/>
      <c r="J5" s="32"/>
      <c r="K5" s="8">
        <v>9</v>
      </c>
      <c r="L5" s="30">
        <v>-9866.0863677263296</v>
      </c>
      <c r="M5" s="10">
        <v>0</v>
      </c>
      <c r="N5" s="31">
        <v>142.53120303153901</v>
      </c>
      <c r="O5" s="8"/>
      <c r="P5" s="4"/>
      <c r="Q5" s="4"/>
      <c r="R5" s="9"/>
    </row>
    <row r="6" spans="1:18" x14ac:dyDescent="0.2">
      <c r="A6" s="8">
        <v>4</v>
      </c>
      <c r="B6" s="4">
        <v>3</v>
      </c>
      <c r="C6" s="4">
        <v>15</v>
      </c>
      <c r="D6" s="4">
        <v>5</v>
      </c>
      <c r="E6" s="4">
        <v>30</v>
      </c>
      <c r="F6" s="4">
        <v>80</v>
      </c>
      <c r="G6" s="4"/>
      <c r="H6" s="32"/>
      <c r="I6" s="10"/>
      <c r="J6" s="32"/>
      <c r="K6" s="8">
        <v>10</v>
      </c>
      <c r="L6" s="30">
        <v>-9882.1706790869903</v>
      </c>
      <c r="M6" s="10">
        <v>0</v>
      </c>
      <c r="N6" s="31">
        <v>237.41424393653801</v>
      </c>
      <c r="O6" s="8"/>
      <c r="P6" s="4"/>
      <c r="Q6" s="4"/>
      <c r="R6" s="9"/>
    </row>
    <row r="7" spans="1:18" x14ac:dyDescent="0.2">
      <c r="A7" s="8">
        <v>5</v>
      </c>
      <c r="B7" s="4">
        <v>3</v>
      </c>
      <c r="C7" s="4">
        <v>15</v>
      </c>
      <c r="D7" s="4">
        <v>5</v>
      </c>
      <c r="E7" s="4">
        <v>60</v>
      </c>
      <c r="F7" s="4">
        <v>20</v>
      </c>
      <c r="G7" s="4"/>
      <c r="H7" s="32"/>
      <c r="I7" s="10"/>
      <c r="J7" s="32"/>
      <c r="K7" s="8">
        <v>6</v>
      </c>
      <c r="L7" s="30">
        <v>-11640.7682696596</v>
      </c>
      <c r="M7" s="10">
        <v>0</v>
      </c>
      <c r="N7" s="31">
        <v>42.464051008224402</v>
      </c>
      <c r="O7" s="8"/>
      <c r="P7" s="4"/>
      <c r="Q7" s="4"/>
      <c r="R7" s="9"/>
    </row>
    <row r="8" spans="1:18" x14ac:dyDescent="0.2">
      <c r="A8" s="8">
        <v>6</v>
      </c>
      <c r="B8" s="4">
        <v>3</v>
      </c>
      <c r="C8" s="4">
        <v>15</v>
      </c>
      <c r="D8" s="4">
        <v>5</v>
      </c>
      <c r="E8" s="4">
        <v>90</v>
      </c>
      <c r="F8" s="4">
        <v>20</v>
      </c>
      <c r="G8" s="4"/>
      <c r="H8" s="32"/>
      <c r="I8" s="10"/>
      <c r="J8" s="32"/>
      <c r="K8" s="8">
        <v>10</v>
      </c>
      <c r="L8" s="30">
        <v>-18198.1756221615</v>
      </c>
      <c r="M8" s="10">
        <v>0</v>
      </c>
      <c r="N8" s="31">
        <v>465.242640972137</v>
      </c>
      <c r="O8" s="8"/>
      <c r="P8" s="4"/>
      <c r="Q8" s="4"/>
      <c r="R8" s="9"/>
    </row>
    <row r="9" spans="1:18" x14ac:dyDescent="0.2">
      <c r="A9" s="8">
        <v>7</v>
      </c>
      <c r="B9" s="4">
        <v>3</v>
      </c>
      <c r="C9" s="4">
        <v>15</v>
      </c>
      <c r="D9" s="4">
        <v>5</v>
      </c>
      <c r="E9" s="4">
        <v>120</v>
      </c>
      <c r="F9" s="4">
        <v>20</v>
      </c>
      <c r="G9" s="4"/>
      <c r="H9" s="4"/>
      <c r="I9" s="10"/>
      <c r="J9" s="4"/>
      <c r="K9" s="8">
        <v>9</v>
      </c>
      <c r="L9" s="30">
        <v>-15396.687569772001</v>
      </c>
      <c r="M9" s="10">
        <v>0</v>
      </c>
      <c r="N9" s="31">
        <v>317.93293476104702</v>
      </c>
      <c r="O9" s="8"/>
      <c r="P9" s="4"/>
      <c r="Q9" s="4"/>
      <c r="R9" s="9"/>
    </row>
    <row r="10" spans="1:18" s="4" customFormat="1" x14ac:dyDescent="0.2">
      <c r="A10" s="8">
        <v>8</v>
      </c>
      <c r="B10" s="4">
        <v>3</v>
      </c>
      <c r="C10" s="4">
        <v>15</v>
      </c>
      <c r="D10" s="4">
        <v>7</v>
      </c>
      <c r="E10" s="4">
        <v>30</v>
      </c>
      <c r="F10" s="4">
        <v>20</v>
      </c>
      <c r="O10" s="8"/>
      <c r="R10" s="9"/>
    </row>
    <row r="11" spans="1:18" x14ac:dyDescent="0.2">
      <c r="A11" s="8">
        <v>9</v>
      </c>
      <c r="B11" s="4">
        <v>3</v>
      </c>
      <c r="C11" s="4">
        <v>15</v>
      </c>
      <c r="D11" s="4">
        <v>10</v>
      </c>
      <c r="E11" s="4">
        <v>30</v>
      </c>
      <c r="F11" s="4">
        <v>20</v>
      </c>
      <c r="G11" s="4"/>
      <c r="H11" s="32"/>
      <c r="I11" s="10"/>
      <c r="J11" s="32"/>
      <c r="K11" s="8">
        <v>72</v>
      </c>
      <c r="L11" s="30">
        <v>-12302.0922985862</v>
      </c>
      <c r="M11" s="10">
        <v>0</v>
      </c>
      <c r="N11" s="31">
        <v>1245.3943359851801</v>
      </c>
      <c r="O11" s="8"/>
      <c r="P11" s="4"/>
      <c r="Q11" s="4"/>
      <c r="R11" s="9"/>
    </row>
    <row r="12" spans="1:18" x14ac:dyDescent="0.2">
      <c r="A12" s="8">
        <v>10</v>
      </c>
      <c r="B12" s="4">
        <v>3</v>
      </c>
      <c r="C12" s="4">
        <v>15</v>
      </c>
      <c r="D12" s="4">
        <v>12</v>
      </c>
      <c r="E12" s="4">
        <v>30</v>
      </c>
      <c r="F12" s="4">
        <v>20</v>
      </c>
      <c r="G12" s="4"/>
      <c r="H12" s="4"/>
      <c r="I12" s="4"/>
      <c r="J12" s="4"/>
      <c r="K12" s="8"/>
      <c r="L12" s="33"/>
      <c r="M12" s="10"/>
      <c r="N12" s="34"/>
      <c r="O12" s="8"/>
      <c r="P12" s="4"/>
      <c r="Q12" s="4"/>
      <c r="R12" s="9"/>
    </row>
    <row r="13" spans="1:18" x14ac:dyDescent="0.2">
      <c r="A13" s="8">
        <v>11</v>
      </c>
      <c r="B13" s="4">
        <v>3</v>
      </c>
      <c r="C13" s="4">
        <v>30</v>
      </c>
      <c r="D13" s="4">
        <v>5</v>
      </c>
      <c r="E13" s="4">
        <v>30</v>
      </c>
      <c r="F13" s="4">
        <v>20</v>
      </c>
      <c r="G13" s="4"/>
      <c r="H13" s="4"/>
      <c r="I13" s="4"/>
      <c r="J13" s="4"/>
      <c r="K13" s="8">
        <v>7</v>
      </c>
      <c r="L13" s="33">
        <v>-9848.9757111501694</v>
      </c>
      <c r="M13" s="10">
        <v>0</v>
      </c>
      <c r="N13" s="34">
        <v>40.093658208847003</v>
      </c>
      <c r="O13" s="8"/>
      <c r="P13" s="4"/>
      <c r="Q13" s="4"/>
      <c r="R13" s="9"/>
    </row>
    <row r="14" spans="1:18" x14ac:dyDescent="0.2">
      <c r="A14" s="8">
        <v>12</v>
      </c>
      <c r="B14" s="4">
        <v>3</v>
      </c>
      <c r="C14" s="4">
        <v>45</v>
      </c>
      <c r="D14" s="4">
        <v>5</v>
      </c>
      <c r="E14" s="4">
        <v>30</v>
      </c>
      <c r="F14" s="4">
        <v>20</v>
      </c>
      <c r="G14" s="4"/>
      <c r="H14" s="4"/>
      <c r="I14" s="4"/>
      <c r="J14" s="4"/>
      <c r="K14" s="8">
        <v>8</v>
      </c>
      <c r="L14" s="33">
        <v>-10337.7659416767</v>
      </c>
      <c r="M14" s="10">
        <v>0</v>
      </c>
      <c r="N14" s="34">
        <v>63.158130884170497</v>
      </c>
      <c r="O14" s="8"/>
      <c r="P14" s="4"/>
      <c r="Q14" s="4"/>
      <c r="R14" s="9"/>
    </row>
    <row r="15" spans="1:18" x14ac:dyDescent="0.2">
      <c r="A15" s="8">
        <v>13</v>
      </c>
      <c r="B15" s="4">
        <v>3</v>
      </c>
      <c r="C15" s="4">
        <v>60</v>
      </c>
      <c r="D15" s="4">
        <v>5</v>
      </c>
      <c r="E15" s="4">
        <v>30</v>
      </c>
      <c r="F15" s="4">
        <v>20</v>
      </c>
      <c r="G15" s="4"/>
      <c r="H15" s="4"/>
      <c r="I15" s="4"/>
      <c r="J15" s="4"/>
      <c r="K15" s="8">
        <v>10</v>
      </c>
      <c r="L15" s="33">
        <v>-10213.0336766686</v>
      </c>
      <c r="M15" s="10">
        <v>0</v>
      </c>
      <c r="N15" s="34">
        <v>64.4015629291534</v>
      </c>
      <c r="O15" s="8"/>
      <c r="P15" s="4"/>
      <c r="Q15" s="4"/>
      <c r="R15" s="9"/>
    </row>
    <row r="16" spans="1:18" x14ac:dyDescent="0.2">
      <c r="A16" s="8">
        <v>14</v>
      </c>
      <c r="B16" s="4">
        <v>6</v>
      </c>
      <c r="C16" s="4">
        <v>15</v>
      </c>
      <c r="D16" s="4">
        <v>5</v>
      </c>
      <c r="E16" s="4">
        <v>30</v>
      </c>
      <c r="F16" s="4">
        <v>20</v>
      </c>
      <c r="G16" s="4"/>
      <c r="H16" s="4"/>
      <c r="I16" s="4"/>
      <c r="J16" s="4"/>
      <c r="K16" s="8">
        <v>10</v>
      </c>
      <c r="L16" s="33">
        <v>-18546.448961001399</v>
      </c>
      <c r="M16" s="10">
        <v>0</v>
      </c>
      <c r="N16" s="34">
        <v>107.907812833786</v>
      </c>
      <c r="O16" s="8"/>
      <c r="P16" s="4"/>
      <c r="Q16" s="4"/>
      <c r="R16" s="9"/>
    </row>
    <row r="17" spans="1:18" x14ac:dyDescent="0.2">
      <c r="A17" s="8">
        <v>15</v>
      </c>
      <c r="B17" s="4">
        <v>9</v>
      </c>
      <c r="C17" s="4">
        <v>15</v>
      </c>
      <c r="D17" s="4">
        <v>5</v>
      </c>
      <c r="E17" s="4">
        <v>30</v>
      </c>
      <c r="F17" s="4">
        <v>20</v>
      </c>
      <c r="G17" s="4"/>
      <c r="H17" s="4"/>
      <c r="I17" s="4"/>
      <c r="J17" s="4"/>
      <c r="K17" s="8">
        <v>12</v>
      </c>
      <c r="L17" s="33">
        <v>-38052.147262865401</v>
      </c>
      <c r="M17" s="10">
        <v>0</v>
      </c>
      <c r="N17" s="34">
        <v>288.16991496086098</v>
      </c>
      <c r="O17" s="8"/>
      <c r="P17" s="4"/>
      <c r="Q17" s="4"/>
      <c r="R17" s="9"/>
    </row>
    <row r="18" spans="1:18" x14ac:dyDescent="0.2">
      <c r="A18" s="8">
        <v>16</v>
      </c>
      <c r="B18" s="4">
        <v>12</v>
      </c>
      <c r="C18" s="4">
        <v>15</v>
      </c>
      <c r="D18" s="4">
        <v>5</v>
      </c>
      <c r="E18" s="4">
        <v>30</v>
      </c>
      <c r="F18" s="4">
        <v>20</v>
      </c>
      <c r="G18" s="4"/>
      <c r="H18" s="4"/>
      <c r="I18" s="4"/>
      <c r="J18" s="4"/>
      <c r="K18" s="8">
        <v>11</v>
      </c>
      <c r="L18" s="33">
        <v>-57750.030197865803</v>
      </c>
      <c r="M18" s="10">
        <v>0</v>
      </c>
      <c r="N18" s="34">
        <v>302.60836505889802</v>
      </c>
      <c r="O18" s="8"/>
      <c r="P18" s="4"/>
      <c r="Q18" s="4"/>
      <c r="R18" s="9"/>
    </row>
  </sheetData>
  <mergeCells count="3">
    <mergeCell ref="G1:J1"/>
    <mergeCell ref="K1:N1"/>
    <mergeCell ref="O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cros validation</vt:lpstr>
      <vt:lpstr>out sampel</vt:lpstr>
      <vt:lpstr>impact radius</vt:lpstr>
      <vt:lpstr>impact testing sample</vt:lpstr>
      <vt:lpstr>Impact of Uncertinaty</vt:lpstr>
      <vt:lpstr>Sheet1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Hassanzadeh</dc:creator>
  <cp:lastModifiedBy>Hadi Hassanzadeh</cp:lastModifiedBy>
  <dcterms:created xsi:type="dcterms:W3CDTF">2025-08-04T10:57:47Z</dcterms:created>
  <dcterms:modified xsi:type="dcterms:W3CDTF">2025-08-10T22:32:22Z</dcterms:modified>
</cp:coreProperties>
</file>